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Git\SIMSR-Results-Generator\Batch 2018-20\Sem 1\"/>
    </mc:Choice>
  </mc:AlternateContent>
  <xr:revisionPtr revIDLastSave="0" documentId="13_ncr:1_{2ACC6F9E-FE11-4A06-8154-4E5C9859AA63}" xr6:coauthVersionLast="41" xr6:coauthVersionMax="41" xr10:uidLastSave="{00000000-0000-0000-0000-000000000000}"/>
  <bookViews>
    <workbookView xWindow="-120" yWindow="-120" windowWidth="20730" windowHeight="11760" xr2:uid="{9E84E1F8-90D4-4BC1-A38E-D9680DBF5E41}"/>
  </bookViews>
  <sheets>
    <sheet name="Top 12" sheetId="3" r:id="rId1"/>
    <sheet name="Subject Marks" sheetId="5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1" hidden="1">'Subject Marks'!$A$2:$BS$135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A135" i="5" l="1"/>
  <c r="AZ135" i="5"/>
  <c r="AT135" i="5"/>
  <c r="AS135" i="5"/>
  <c r="AM135" i="5"/>
  <c r="AL135" i="5"/>
  <c r="AF135" i="5"/>
  <c r="AE135" i="5"/>
  <c r="Y135" i="5"/>
  <c r="X135" i="5"/>
  <c r="R135" i="5"/>
  <c r="Q135" i="5"/>
  <c r="K135" i="5"/>
  <c r="J135" i="5"/>
  <c r="D135" i="5"/>
  <c r="C135" i="5"/>
  <c r="B135" i="5"/>
  <c r="A135" i="5"/>
  <c r="BA134" i="5"/>
  <c r="AZ134" i="5"/>
  <c r="AT134" i="5"/>
  <c r="AS134" i="5"/>
  <c r="AM134" i="5"/>
  <c r="AL134" i="5"/>
  <c r="AF134" i="5"/>
  <c r="AE134" i="5"/>
  <c r="Y134" i="5"/>
  <c r="X134" i="5"/>
  <c r="R134" i="5"/>
  <c r="Q134" i="5"/>
  <c r="K134" i="5"/>
  <c r="J134" i="5"/>
  <c r="D134" i="5"/>
  <c r="C134" i="5"/>
  <c r="B134" i="5"/>
  <c r="A134" i="5"/>
  <c r="BA133" i="5"/>
  <c r="AZ133" i="5"/>
  <c r="AT133" i="5"/>
  <c r="AS133" i="5"/>
  <c r="AM133" i="5"/>
  <c r="AL133" i="5"/>
  <c r="AF133" i="5"/>
  <c r="AE133" i="5"/>
  <c r="Y133" i="5"/>
  <c r="X133" i="5"/>
  <c r="R133" i="5"/>
  <c r="Q133" i="5"/>
  <c r="K133" i="5"/>
  <c r="J133" i="5"/>
  <c r="D133" i="5"/>
  <c r="C133" i="5"/>
  <c r="B133" i="5"/>
  <c r="A133" i="5"/>
  <c r="BA132" i="5"/>
  <c r="AZ132" i="5"/>
  <c r="AT132" i="5"/>
  <c r="AS132" i="5"/>
  <c r="AM132" i="5"/>
  <c r="AL132" i="5"/>
  <c r="AF132" i="5"/>
  <c r="AE132" i="5"/>
  <c r="Y132" i="5"/>
  <c r="X132" i="5"/>
  <c r="R132" i="5"/>
  <c r="Q132" i="5"/>
  <c r="K132" i="5"/>
  <c r="J132" i="5"/>
  <c r="D132" i="5"/>
  <c r="C132" i="5"/>
  <c r="B132" i="5"/>
  <c r="A132" i="5"/>
  <c r="BA131" i="5"/>
  <c r="AZ131" i="5"/>
  <c r="AT131" i="5"/>
  <c r="AS131" i="5"/>
  <c r="AM131" i="5"/>
  <c r="AL131" i="5"/>
  <c r="AF131" i="5"/>
  <c r="AE131" i="5"/>
  <c r="Y131" i="5"/>
  <c r="X131" i="5"/>
  <c r="R131" i="5"/>
  <c r="Q131" i="5"/>
  <c r="K131" i="5"/>
  <c r="J131" i="5"/>
  <c r="D131" i="5"/>
  <c r="C131" i="5"/>
  <c r="B131" i="5"/>
  <c r="A131" i="5"/>
  <c r="BA130" i="5"/>
  <c r="AZ130" i="5"/>
  <c r="AT130" i="5"/>
  <c r="AS130" i="5"/>
  <c r="AM130" i="5"/>
  <c r="AL130" i="5"/>
  <c r="AF130" i="5"/>
  <c r="AE130" i="5"/>
  <c r="Y130" i="5"/>
  <c r="X130" i="5"/>
  <c r="R130" i="5"/>
  <c r="Q130" i="5"/>
  <c r="K130" i="5"/>
  <c r="J130" i="5"/>
  <c r="D130" i="5"/>
  <c r="C130" i="5"/>
  <c r="B130" i="5"/>
  <c r="A130" i="5"/>
  <c r="BA129" i="5"/>
  <c r="AZ129" i="5"/>
  <c r="AT129" i="5"/>
  <c r="AS129" i="5"/>
  <c r="AM129" i="5"/>
  <c r="AL129" i="5"/>
  <c r="AF129" i="5"/>
  <c r="AE129" i="5"/>
  <c r="Y129" i="5"/>
  <c r="X129" i="5"/>
  <c r="R129" i="5"/>
  <c r="Q129" i="5"/>
  <c r="K129" i="5"/>
  <c r="J129" i="5"/>
  <c r="D129" i="5"/>
  <c r="C129" i="5"/>
  <c r="B129" i="5"/>
  <c r="A129" i="5"/>
  <c r="BA128" i="5"/>
  <c r="AZ128" i="5"/>
  <c r="AT128" i="5"/>
  <c r="AS128" i="5"/>
  <c r="AM128" i="5"/>
  <c r="AL128" i="5"/>
  <c r="AF128" i="5"/>
  <c r="AE128" i="5"/>
  <c r="Y128" i="5"/>
  <c r="X128" i="5"/>
  <c r="R128" i="5"/>
  <c r="Q128" i="5"/>
  <c r="K128" i="5"/>
  <c r="J128" i="5"/>
  <c r="D128" i="5"/>
  <c r="C128" i="5"/>
  <c r="B128" i="5"/>
  <c r="A128" i="5"/>
  <c r="BA127" i="5"/>
  <c r="AZ127" i="5"/>
  <c r="AT127" i="5"/>
  <c r="AS127" i="5"/>
  <c r="AM127" i="5"/>
  <c r="AL127" i="5"/>
  <c r="AF127" i="5"/>
  <c r="AE127" i="5"/>
  <c r="Y127" i="5"/>
  <c r="X127" i="5"/>
  <c r="R127" i="5"/>
  <c r="Q127" i="5"/>
  <c r="K127" i="5"/>
  <c r="J127" i="5"/>
  <c r="D127" i="5"/>
  <c r="C127" i="5"/>
  <c r="B127" i="5"/>
  <c r="A127" i="5"/>
  <c r="BA126" i="5"/>
  <c r="AZ126" i="5"/>
  <c r="AT126" i="5"/>
  <c r="AS126" i="5"/>
  <c r="AM126" i="5"/>
  <c r="AL126" i="5"/>
  <c r="AF126" i="5"/>
  <c r="AE126" i="5"/>
  <c r="Y126" i="5"/>
  <c r="X126" i="5"/>
  <c r="R126" i="5"/>
  <c r="Q126" i="5"/>
  <c r="K126" i="5"/>
  <c r="J126" i="5"/>
  <c r="D126" i="5"/>
  <c r="C126" i="5"/>
  <c r="B126" i="5"/>
  <c r="A126" i="5"/>
  <c r="BA125" i="5"/>
  <c r="AZ125" i="5"/>
  <c r="AT125" i="5"/>
  <c r="AS125" i="5"/>
  <c r="AM125" i="5"/>
  <c r="AL125" i="5"/>
  <c r="AF125" i="5"/>
  <c r="AE125" i="5"/>
  <c r="Y125" i="5"/>
  <c r="X125" i="5"/>
  <c r="R125" i="5"/>
  <c r="Q125" i="5"/>
  <c r="K125" i="5"/>
  <c r="J125" i="5"/>
  <c r="D125" i="5"/>
  <c r="C125" i="5"/>
  <c r="B125" i="5"/>
  <c r="A125" i="5"/>
  <c r="BA124" i="5"/>
  <c r="AZ124" i="5"/>
  <c r="AT124" i="5"/>
  <c r="AS124" i="5"/>
  <c r="AM124" i="5"/>
  <c r="AL124" i="5"/>
  <c r="AF124" i="5"/>
  <c r="AE124" i="5"/>
  <c r="Y124" i="5"/>
  <c r="X124" i="5"/>
  <c r="R124" i="5"/>
  <c r="Q124" i="5"/>
  <c r="K124" i="5"/>
  <c r="J124" i="5"/>
  <c r="D124" i="5"/>
  <c r="C124" i="5"/>
  <c r="B124" i="5"/>
  <c r="A124" i="5"/>
  <c r="BA123" i="5"/>
  <c r="AZ123" i="5"/>
  <c r="AT123" i="5"/>
  <c r="AS123" i="5"/>
  <c r="AM123" i="5"/>
  <c r="AL123" i="5"/>
  <c r="AF123" i="5"/>
  <c r="AE123" i="5"/>
  <c r="Y123" i="5"/>
  <c r="X123" i="5"/>
  <c r="R123" i="5"/>
  <c r="Q123" i="5"/>
  <c r="K123" i="5"/>
  <c r="J123" i="5"/>
  <c r="D123" i="5"/>
  <c r="C123" i="5"/>
  <c r="B123" i="5"/>
  <c r="A123" i="5"/>
  <c r="BA122" i="5"/>
  <c r="AZ122" i="5"/>
  <c r="AT122" i="5"/>
  <c r="AS122" i="5"/>
  <c r="AM122" i="5"/>
  <c r="AL122" i="5"/>
  <c r="AF122" i="5"/>
  <c r="AE122" i="5"/>
  <c r="Y122" i="5"/>
  <c r="X122" i="5"/>
  <c r="R122" i="5"/>
  <c r="Q122" i="5"/>
  <c r="K122" i="5"/>
  <c r="J122" i="5"/>
  <c r="D122" i="5"/>
  <c r="C122" i="5"/>
  <c r="B122" i="5"/>
  <c r="A122" i="5"/>
  <c r="BA108" i="5"/>
  <c r="AZ108" i="5"/>
  <c r="AT108" i="5"/>
  <c r="AS108" i="5"/>
  <c r="AM108" i="5"/>
  <c r="AL108" i="5"/>
  <c r="AF108" i="5"/>
  <c r="AE108" i="5"/>
  <c r="Y108" i="5"/>
  <c r="X108" i="5"/>
  <c r="R108" i="5"/>
  <c r="Q108" i="5"/>
  <c r="K108" i="5"/>
  <c r="J108" i="5"/>
  <c r="D108" i="5"/>
  <c r="C108" i="5"/>
  <c r="B108" i="5"/>
  <c r="A108" i="5"/>
  <c r="BA23" i="5"/>
  <c r="AZ23" i="5"/>
  <c r="AT23" i="5"/>
  <c r="AS23" i="5"/>
  <c r="AM23" i="5"/>
  <c r="AL23" i="5"/>
  <c r="AF23" i="5"/>
  <c r="AE23" i="5"/>
  <c r="Y23" i="5"/>
  <c r="X23" i="5"/>
  <c r="R23" i="5"/>
  <c r="Q23" i="5"/>
  <c r="K23" i="5"/>
  <c r="J23" i="5"/>
  <c r="D23" i="5"/>
  <c r="C23" i="5"/>
  <c r="B23" i="5"/>
  <c r="A23" i="5"/>
  <c r="BA57" i="5"/>
  <c r="AZ57" i="5"/>
  <c r="AT57" i="5"/>
  <c r="AS57" i="5"/>
  <c r="AM57" i="5"/>
  <c r="AL57" i="5"/>
  <c r="AF57" i="5"/>
  <c r="AE57" i="5"/>
  <c r="Y57" i="5"/>
  <c r="X57" i="5"/>
  <c r="R57" i="5"/>
  <c r="Q57" i="5"/>
  <c r="K57" i="5"/>
  <c r="J57" i="5"/>
  <c r="D57" i="5"/>
  <c r="C57" i="5"/>
  <c r="B57" i="5"/>
  <c r="A57" i="5"/>
  <c r="BA56" i="5"/>
  <c r="AZ56" i="5"/>
  <c r="AT56" i="5"/>
  <c r="AS56" i="5"/>
  <c r="AM56" i="5"/>
  <c r="AL56" i="5"/>
  <c r="AF56" i="5"/>
  <c r="AE56" i="5"/>
  <c r="Y56" i="5"/>
  <c r="X56" i="5"/>
  <c r="R56" i="5"/>
  <c r="Q56" i="5"/>
  <c r="K56" i="5"/>
  <c r="J56" i="5"/>
  <c r="D56" i="5"/>
  <c r="C56" i="5"/>
  <c r="B56" i="5"/>
  <c r="A56" i="5"/>
  <c r="BA88" i="5"/>
  <c r="AZ88" i="5"/>
  <c r="AT88" i="5"/>
  <c r="AS88" i="5"/>
  <c r="AM88" i="5"/>
  <c r="AL88" i="5"/>
  <c r="AF88" i="5"/>
  <c r="AE88" i="5"/>
  <c r="Y88" i="5"/>
  <c r="X88" i="5"/>
  <c r="R88" i="5"/>
  <c r="Q88" i="5"/>
  <c r="K88" i="5"/>
  <c r="J88" i="5"/>
  <c r="D88" i="5"/>
  <c r="C88" i="5"/>
  <c r="B88" i="5"/>
  <c r="A88" i="5"/>
  <c r="BA13" i="5"/>
  <c r="AZ13" i="5"/>
  <c r="AT13" i="5"/>
  <c r="AS13" i="5"/>
  <c r="AM13" i="5"/>
  <c r="AL13" i="5"/>
  <c r="AF13" i="5"/>
  <c r="AE13" i="5"/>
  <c r="Y13" i="5"/>
  <c r="X13" i="5"/>
  <c r="R13" i="5"/>
  <c r="Q13" i="5"/>
  <c r="K13" i="5"/>
  <c r="J13" i="5"/>
  <c r="D13" i="5"/>
  <c r="C13" i="5"/>
  <c r="B13" i="5"/>
  <c r="A13" i="5"/>
  <c r="BA35" i="5"/>
  <c r="AZ35" i="5"/>
  <c r="AT35" i="5"/>
  <c r="AS35" i="5"/>
  <c r="AM35" i="5"/>
  <c r="AL35" i="5"/>
  <c r="AF35" i="5"/>
  <c r="AE35" i="5"/>
  <c r="Y35" i="5"/>
  <c r="X35" i="5"/>
  <c r="R35" i="5"/>
  <c r="Q35" i="5"/>
  <c r="K35" i="5"/>
  <c r="J35" i="5"/>
  <c r="D35" i="5"/>
  <c r="C35" i="5"/>
  <c r="B35" i="5"/>
  <c r="A35" i="5"/>
  <c r="BA118" i="5"/>
  <c r="AZ118" i="5"/>
  <c r="AT118" i="5"/>
  <c r="AS118" i="5"/>
  <c r="AM118" i="5"/>
  <c r="AL118" i="5"/>
  <c r="AF118" i="5"/>
  <c r="AE118" i="5"/>
  <c r="Y118" i="5"/>
  <c r="X118" i="5"/>
  <c r="R118" i="5"/>
  <c r="Q118" i="5"/>
  <c r="K118" i="5"/>
  <c r="J118" i="5"/>
  <c r="D118" i="5"/>
  <c r="C118" i="5"/>
  <c r="B118" i="5"/>
  <c r="A118" i="5"/>
  <c r="BA67" i="5"/>
  <c r="AZ67" i="5"/>
  <c r="AT67" i="5"/>
  <c r="AS67" i="5"/>
  <c r="AM67" i="5"/>
  <c r="AL67" i="5"/>
  <c r="AF67" i="5"/>
  <c r="AE67" i="5"/>
  <c r="Y67" i="5"/>
  <c r="X67" i="5"/>
  <c r="R67" i="5"/>
  <c r="Q67" i="5"/>
  <c r="K67" i="5"/>
  <c r="J67" i="5"/>
  <c r="D67" i="5"/>
  <c r="C67" i="5"/>
  <c r="B67" i="5"/>
  <c r="A67" i="5"/>
  <c r="BA107" i="5"/>
  <c r="AZ107" i="5"/>
  <c r="AT107" i="5"/>
  <c r="AS107" i="5"/>
  <c r="AM107" i="5"/>
  <c r="AL107" i="5"/>
  <c r="AF107" i="5"/>
  <c r="AE107" i="5"/>
  <c r="Y107" i="5"/>
  <c r="X107" i="5"/>
  <c r="R107" i="5"/>
  <c r="Q107" i="5"/>
  <c r="K107" i="5"/>
  <c r="J107" i="5"/>
  <c r="D107" i="5"/>
  <c r="C107" i="5"/>
  <c r="B107" i="5"/>
  <c r="A107" i="5"/>
  <c r="BA87" i="5"/>
  <c r="AZ87" i="5"/>
  <c r="AT87" i="5"/>
  <c r="AS87" i="5"/>
  <c r="AM87" i="5"/>
  <c r="AL87" i="5"/>
  <c r="AF87" i="5"/>
  <c r="AE87" i="5"/>
  <c r="Y87" i="5"/>
  <c r="X87" i="5"/>
  <c r="R87" i="5"/>
  <c r="Q87" i="5"/>
  <c r="K87" i="5"/>
  <c r="J87" i="5"/>
  <c r="D87" i="5"/>
  <c r="C87" i="5"/>
  <c r="B87" i="5"/>
  <c r="A87" i="5"/>
  <c r="BA98" i="5"/>
  <c r="AZ98" i="5"/>
  <c r="AT98" i="5"/>
  <c r="AS98" i="5"/>
  <c r="AM98" i="5"/>
  <c r="AL98" i="5"/>
  <c r="AF98" i="5"/>
  <c r="AE98" i="5"/>
  <c r="Y98" i="5"/>
  <c r="X98" i="5"/>
  <c r="R98" i="5"/>
  <c r="Q98" i="5"/>
  <c r="K98" i="5"/>
  <c r="J98" i="5"/>
  <c r="D98" i="5"/>
  <c r="C98" i="5"/>
  <c r="B98" i="5"/>
  <c r="A98" i="5"/>
  <c r="BA22" i="5"/>
  <c r="AZ22" i="5"/>
  <c r="AT22" i="5"/>
  <c r="AS22" i="5"/>
  <c r="AM22" i="5"/>
  <c r="AL22" i="5"/>
  <c r="AF22" i="5"/>
  <c r="AE22" i="5"/>
  <c r="Y22" i="5"/>
  <c r="X22" i="5"/>
  <c r="R22" i="5"/>
  <c r="Q22" i="5"/>
  <c r="K22" i="5"/>
  <c r="J22" i="5"/>
  <c r="D22" i="5"/>
  <c r="C22" i="5"/>
  <c r="B22" i="5"/>
  <c r="A22" i="5"/>
  <c r="BA55" i="5"/>
  <c r="AZ55" i="5"/>
  <c r="AT55" i="5"/>
  <c r="AS55" i="5"/>
  <c r="AM55" i="5"/>
  <c r="AL55" i="5"/>
  <c r="AF55" i="5"/>
  <c r="AE55" i="5"/>
  <c r="Y55" i="5"/>
  <c r="X55" i="5"/>
  <c r="R55" i="5"/>
  <c r="Q55" i="5"/>
  <c r="K55" i="5"/>
  <c r="J55" i="5"/>
  <c r="D55" i="5"/>
  <c r="C55" i="5"/>
  <c r="B55" i="5"/>
  <c r="A55" i="5"/>
  <c r="BA54" i="5"/>
  <c r="AZ54" i="5"/>
  <c r="AT54" i="5"/>
  <c r="AS54" i="5"/>
  <c r="AM54" i="5"/>
  <c r="AL54" i="5"/>
  <c r="AF54" i="5"/>
  <c r="AE54" i="5"/>
  <c r="Y54" i="5"/>
  <c r="X54" i="5"/>
  <c r="R54" i="5"/>
  <c r="Q54" i="5"/>
  <c r="K54" i="5"/>
  <c r="J54" i="5"/>
  <c r="D54" i="5"/>
  <c r="C54" i="5"/>
  <c r="B54" i="5"/>
  <c r="A54" i="5"/>
  <c r="BA86" i="5"/>
  <c r="AZ86" i="5"/>
  <c r="AT86" i="5"/>
  <c r="AS86" i="5"/>
  <c r="AM86" i="5"/>
  <c r="AL86" i="5"/>
  <c r="AF86" i="5"/>
  <c r="AE86" i="5"/>
  <c r="Y86" i="5"/>
  <c r="X86" i="5"/>
  <c r="R86" i="5"/>
  <c r="Q86" i="5"/>
  <c r="K86" i="5"/>
  <c r="J86" i="5"/>
  <c r="D86" i="5"/>
  <c r="C86" i="5"/>
  <c r="B86" i="5"/>
  <c r="A86" i="5"/>
  <c r="BA12" i="5"/>
  <c r="AZ12" i="5"/>
  <c r="AT12" i="5"/>
  <c r="AS12" i="5"/>
  <c r="AM12" i="5"/>
  <c r="AL12" i="5"/>
  <c r="AF12" i="5"/>
  <c r="AE12" i="5"/>
  <c r="Y12" i="5"/>
  <c r="X12" i="5"/>
  <c r="R12" i="5"/>
  <c r="Q12" i="5"/>
  <c r="K12" i="5"/>
  <c r="J12" i="5"/>
  <c r="D12" i="5"/>
  <c r="C12" i="5"/>
  <c r="B12" i="5"/>
  <c r="A12" i="5"/>
  <c r="BA34" i="5"/>
  <c r="AZ34" i="5"/>
  <c r="AT34" i="5"/>
  <c r="AS34" i="5"/>
  <c r="AM34" i="5"/>
  <c r="AL34" i="5"/>
  <c r="AF34" i="5"/>
  <c r="AE34" i="5"/>
  <c r="Y34" i="5"/>
  <c r="X34" i="5"/>
  <c r="R34" i="5"/>
  <c r="Q34" i="5"/>
  <c r="K34" i="5"/>
  <c r="J34" i="5"/>
  <c r="D34" i="5"/>
  <c r="C34" i="5"/>
  <c r="B34" i="5"/>
  <c r="A34" i="5"/>
  <c r="BA117" i="5"/>
  <c r="AZ117" i="5"/>
  <c r="AT117" i="5"/>
  <c r="AS117" i="5"/>
  <c r="AM117" i="5"/>
  <c r="AL117" i="5"/>
  <c r="AF117" i="5"/>
  <c r="AE117" i="5"/>
  <c r="Y117" i="5"/>
  <c r="X117" i="5"/>
  <c r="R117" i="5"/>
  <c r="Q117" i="5"/>
  <c r="K117" i="5"/>
  <c r="J117" i="5"/>
  <c r="D117" i="5"/>
  <c r="C117" i="5"/>
  <c r="B117" i="5"/>
  <c r="A117" i="5"/>
  <c r="BA66" i="5"/>
  <c r="AZ66" i="5"/>
  <c r="AT66" i="5"/>
  <c r="AS66" i="5"/>
  <c r="AM66" i="5"/>
  <c r="AL66" i="5"/>
  <c r="AF66" i="5"/>
  <c r="AE66" i="5"/>
  <c r="Y66" i="5"/>
  <c r="X66" i="5"/>
  <c r="R66" i="5"/>
  <c r="Q66" i="5"/>
  <c r="K66" i="5"/>
  <c r="J66" i="5"/>
  <c r="D66" i="5"/>
  <c r="C66" i="5"/>
  <c r="B66" i="5"/>
  <c r="A66" i="5"/>
  <c r="BA106" i="5"/>
  <c r="AZ106" i="5"/>
  <c r="AT106" i="5"/>
  <c r="AS106" i="5"/>
  <c r="AM106" i="5"/>
  <c r="AL106" i="5"/>
  <c r="AF106" i="5"/>
  <c r="AE106" i="5"/>
  <c r="Y106" i="5"/>
  <c r="X106" i="5"/>
  <c r="R106" i="5"/>
  <c r="Q106" i="5"/>
  <c r="K106" i="5"/>
  <c r="J106" i="5"/>
  <c r="D106" i="5"/>
  <c r="C106" i="5"/>
  <c r="B106" i="5"/>
  <c r="A106" i="5"/>
  <c r="BA85" i="5"/>
  <c r="AZ85" i="5"/>
  <c r="AT85" i="5"/>
  <c r="AS85" i="5"/>
  <c r="AM85" i="5"/>
  <c r="AL85" i="5"/>
  <c r="AF85" i="5"/>
  <c r="AE85" i="5"/>
  <c r="Y85" i="5"/>
  <c r="X85" i="5"/>
  <c r="R85" i="5"/>
  <c r="Q85" i="5"/>
  <c r="K85" i="5"/>
  <c r="J85" i="5"/>
  <c r="D85" i="5"/>
  <c r="C85" i="5"/>
  <c r="B85" i="5"/>
  <c r="A85" i="5"/>
  <c r="BA97" i="5"/>
  <c r="AZ97" i="5"/>
  <c r="AT97" i="5"/>
  <c r="AS97" i="5"/>
  <c r="AM97" i="5"/>
  <c r="AL97" i="5"/>
  <c r="AF97" i="5"/>
  <c r="AE97" i="5"/>
  <c r="Y97" i="5"/>
  <c r="X97" i="5"/>
  <c r="R97" i="5"/>
  <c r="Q97" i="5"/>
  <c r="K97" i="5"/>
  <c r="J97" i="5"/>
  <c r="D97" i="5"/>
  <c r="C97" i="5"/>
  <c r="B97" i="5"/>
  <c r="A97" i="5"/>
  <c r="BA21" i="5"/>
  <c r="AZ21" i="5"/>
  <c r="AT21" i="5"/>
  <c r="AS21" i="5"/>
  <c r="AM21" i="5"/>
  <c r="AL21" i="5"/>
  <c r="AF21" i="5"/>
  <c r="AE21" i="5"/>
  <c r="Y21" i="5"/>
  <c r="X21" i="5"/>
  <c r="R21" i="5"/>
  <c r="Q21" i="5"/>
  <c r="K21" i="5"/>
  <c r="J21" i="5"/>
  <c r="D21" i="5"/>
  <c r="C21" i="5"/>
  <c r="B21" i="5"/>
  <c r="A21" i="5"/>
  <c r="BA53" i="5"/>
  <c r="AZ53" i="5"/>
  <c r="AT53" i="5"/>
  <c r="AS53" i="5"/>
  <c r="AM53" i="5"/>
  <c r="AL53" i="5"/>
  <c r="AF53" i="5"/>
  <c r="AE53" i="5"/>
  <c r="Y53" i="5"/>
  <c r="X53" i="5"/>
  <c r="R53" i="5"/>
  <c r="Q53" i="5"/>
  <c r="K53" i="5"/>
  <c r="J53" i="5"/>
  <c r="D53" i="5"/>
  <c r="C53" i="5"/>
  <c r="B53" i="5"/>
  <c r="A53" i="5"/>
  <c r="BA52" i="5"/>
  <c r="AZ52" i="5"/>
  <c r="AT52" i="5"/>
  <c r="AS52" i="5"/>
  <c r="AM52" i="5"/>
  <c r="AL52" i="5"/>
  <c r="AF52" i="5"/>
  <c r="AE52" i="5"/>
  <c r="Y52" i="5"/>
  <c r="X52" i="5"/>
  <c r="R52" i="5"/>
  <c r="Q52" i="5"/>
  <c r="K52" i="5"/>
  <c r="J52" i="5"/>
  <c r="D52" i="5"/>
  <c r="C52" i="5"/>
  <c r="B52" i="5"/>
  <c r="A52" i="5"/>
  <c r="BA84" i="5"/>
  <c r="AZ84" i="5"/>
  <c r="AT84" i="5"/>
  <c r="AS84" i="5"/>
  <c r="AM84" i="5"/>
  <c r="AL84" i="5"/>
  <c r="AF84" i="5"/>
  <c r="AE84" i="5"/>
  <c r="Y84" i="5"/>
  <c r="X84" i="5"/>
  <c r="R84" i="5"/>
  <c r="Q84" i="5"/>
  <c r="K84" i="5"/>
  <c r="J84" i="5"/>
  <c r="D84" i="5"/>
  <c r="C84" i="5"/>
  <c r="B84" i="5"/>
  <c r="A84" i="5"/>
  <c r="BA11" i="5"/>
  <c r="AZ11" i="5"/>
  <c r="AT11" i="5"/>
  <c r="AS11" i="5"/>
  <c r="AM11" i="5"/>
  <c r="AL11" i="5"/>
  <c r="AF11" i="5"/>
  <c r="AE11" i="5"/>
  <c r="Y11" i="5"/>
  <c r="X11" i="5"/>
  <c r="R11" i="5"/>
  <c r="Q11" i="5"/>
  <c r="K11" i="5"/>
  <c r="J11" i="5"/>
  <c r="D11" i="5"/>
  <c r="C11" i="5"/>
  <c r="B11" i="5"/>
  <c r="A11" i="5"/>
  <c r="BA33" i="5"/>
  <c r="AZ33" i="5"/>
  <c r="AT33" i="5"/>
  <c r="AS33" i="5"/>
  <c r="AM33" i="5"/>
  <c r="AL33" i="5"/>
  <c r="AF33" i="5"/>
  <c r="AE33" i="5"/>
  <c r="Y33" i="5"/>
  <c r="X33" i="5"/>
  <c r="R33" i="5"/>
  <c r="Q33" i="5"/>
  <c r="K33" i="5"/>
  <c r="J33" i="5"/>
  <c r="D33" i="5"/>
  <c r="C33" i="5"/>
  <c r="B33" i="5"/>
  <c r="A33" i="5"/>
  <c r="BA116" i="5"/>
  <c r="AZ116" i="5"/>
  <c r="AT116" i="5"/>
  <c r="AS116" i="5"/>
  <c r="AM116" i="5"/>
  <c r="AL116" i="5"/>
  <c r="AF116" i="5"/>
  <c r="AE116" i="5"/>
  <c r="Y116" i="5"/>
  <c r="X116" i="5"/>
  <c r="R116" i="5"/>
  <c r="Q116" i="5"/>
  <c r="K116" i="5"/>
  <c r="J116" i="5"/>
  <c r="D116" i="5"/>
  <c r="C116" i="5"/>
  <c r="B116" i="5"/>
  <c r="A116" i="5"/>
  <c r="BA65" i="5"/>
  <c r="AZ65" i="5"/>
  <c r="AT65" i="5"/>
  <c r="AS65" i="5"/>
  <c r="AM65" i="5"/>
  <c r="AL65" i="5"/>
  <c r="AF65" i="5"/>
  <c r="AE65" i="5"/>
  <c r="Y65" i="5"/>
  <c r="X65" i="5"/>
  <c r="R65" i="5"/>
  <c r="Q65" i="5"/>
  <c r="K65" i="5"/>
  <c r="J65" i="5"/>
  <c r="D65" i="5"/>
  <c r="C65" i="5"/>
  <c r="B65" i="5"/>
  <c r="A65" i="5"/>
  <c r="BA105" i="5"/>
  <c r="AZ105" i="5"/>
  <c r="AT105" i="5"/>
  <c r="AS105" i="5"/>
  <c r="AM105" i="5"/>
  <c r="AL105" i="5"/>
  <c r="AF105" i="5"/>
  <c r="AE105" i="5"/>
  <c r="Y105" i="5"/>
  <c r="X105" i="5"/>
  <c r="R105" i="5"/>
  <c r="Q105" i="5"/>
  <c r="K105" i="5"/>
  <c r="J105" i="5"/>
  <c r="D105" i="5"/>
  <c r="C105" i="5"/>
  <c r="B105" i="5"/>
  <c r="A105" i="5"/>
  <c r="BA83" i="5"/>
  <c r="AZ83" i="5"/>
  <c r="AT83" i="5"/>
  <c r="AS83" i="5"/>
  <c r="AM83" i="5"/>
  <c r="AL83" i="5"/>
  <c r="AF83" i="5"/>
  <c r="AE83" i="5"/>
  <c r="Y83" i="5"/>
  <c r="X83" i="5"/>
  <c r="R83" i="5"/>
  <c r="Q83" i="5"/>
  <c r="K83" i="5"/>
  <c r="J83" i="5"/>
  <c r="D83" i="5"/>
  <c r="C83" i="5"/>
  <c r="B83" i="5"/>
  <c r="A83" i="5"/>
  <c r="BA96" i="5"/>
  <c r="AZ96" i="5"/>
  <c r="AT96" i="5"/>
  <c r="AS96" i="5"/>
  <c r="AM96" i="5"/>
  <c r="AL96" i="5"/>
  <c r="AF96" i="5"/>
  <c r="AE96" i="5"/>
  <c r="Y96" i="5"/>
  <c r="X96" i="5"/>
  <c r="R96" i="5"/>
  <c r="Q96" i="5"/>
  <c r="K96" i="5"/>
  <c r="J96" i="5"/>
  <c r="D96" i="5"/>
  <c r="C96" i="5"/>
  <c r="B96" i="5"/>
  <c r="A96" i="5"/>
  <c r="BA20" i="5"/>
  <c r="AZ20" i="5"/>
  <c r="AT20" i="5"/>
  <c r="AS20" i="5"/>
  <c r="AM20" i="5"/>
  <c r="AL20" i="5"/>
  <c r="AF20" i="5"/>
  <c r="AE20" i="5"/>
  <c r="Y20" i="5"/>
  <c r="X20" i="5"/>
  <c r="R20" i="5"/>
  <c r="Q20" i="5"/>
  <c r="K20" i="5"/>
  <c r="J20" i="5"/>
  <c r="D20" i="5"/>
  <c r="C20" i="5"/>
  <c r="B20" i="5"/>
  <c r="A20" i="5"/>
  <c r="BA51" i="5"/>
  <c r="AZ51" i="5"/>
  <c r="AT51" i="5"/>
  <c r="AS51" i="5"/>
  <c r="AM51" i="5"/>
  <c r="AL51" i="5"/>
  <c r="AF51" i="5"/>
  <c r="AE51" i="5"/>
  <c r="Y51" i="5"/>
  <c r="X51" i="5"/>
  <c r="R51" i="5"/>
  <c r="Q51" i="5"/>
  <c r="K51" i="5"/>
  <c r="J51" i="5"/>
  <c r="D51" i="5"/>
  <c r="C51" i="5"/>
  <c r="B51" i="5"/>
  <c r="A51" i="5"/>
  <c r="BA50" i="5"/>
  <c r="AZ50" i="5"/>
  <c r="AT50" i="5"/>
  <c r="AS50" i="5"/>
  <c r="AM50" i="5"/>
  <c r="AL50" i="5"/>
  <c r="AF50" i="5"/>
  <c r="AE50" i="5"/>
  <c r="Y50" i="5"/>
  <c r="X50" i="5"/>
  <c r="R50" i="5"/>
  <c r="Q50" i="5"/>
  <c r="K50" i="5"/>
  <c r="J50" i="5"/>
  <c r="D50" i="5"/>
  <c r="C50" i="5"/>
  <c r="B50" i="5"/>
  <c r="A50" i="5"/>
  <c r="BA82" i="5"/>
  <c r="AZ82" i="5"/>
  <c r="AT82" i="5"/>
  <c r="AS82" i="5"/>
  <c r="AM82" i="5"/>
  <c r="AL82" i="5"/>
  <c r="AF82" i="5"/>
  <c r="AE82" i="5"/>
  <c r="Y82" i="5"/>
  <c r="X82" i="5"/>
  <c r="R82" i="5"/>
  <c r="Q82" i="5"/>
  <c r="K82" i="5"/>
  <c r="J82" i="5"/>
  <c r="D82" i="5"/>
  <c r="C82" i="5"/>
  <c r="B82" i="5"/>
  <c r="A82" i="5"/>
  <c r="BA10" i="5"/>
  <c r="AZ10" i="5"/>
  <c r="AT10" i="5"/>
  <c r="AS10" i="5"/>
  <c r="AM10" i="5"/>
  <c r="AL10" i="5"/>
  <c r="AF10" i="5"/>
  <c r="AE10" i="5"/>
  <c r="Y10" i="5"/>
  <c r="X10" i="5"/>
  <c r="R10" i="5"/>
  <c r="Q10" i="5"/>
  <c r="K10" i="5"/>
  <c r="J10" i="5"/>
  <c r="D10" i="5"/>
  <c r="C10" i="5"/>
  <c r="B10" i="5"/>
  <c r="A10" i="5"/>
  <c r="BA32" i="5"/>
  <c r="AZ32" i="5"/>
  <c r="AT32" i="5"/>
  <c r="AS32" i="5"/>
  <c r="AM32" i="5"/>
  <c r="AL32" i="5"/>
  <c r="AF32" i="5"/>
  <c r="AE32" i="5"/>
  <c r="Y32" i="5"/>
  <c r="X32" i="5"/>
  <c r="R32" i="5"/>
  <c r="Q32" i="5"/>
  <c r="K32" i="5"/>
  <c r="J32" i="5"/>
  <c r="D32" i="5"/>
  <c r="C32" i="5"/>
  <c r="B32" i="5"/>
  <c r="A32" i="5"/>
  <c r="BA115" i="5"/>
  <c r="AZ115" i="5"/>
  <c r="AT115" i="5"/>
  <c r="AS115" i="5"/>
  <c r="AM115" i="5"/>
  <c r="AL115" i="5"/>
  <c r="AF115" i="5"/>
  <c r="AE115" i="5"/>
  <c r="Y115" i="5"/>
  <c r="X115" i="5"/>
  <c r="R115" i="5"/>
  <c r="Q115" i="5"/>
  <c r="K115" i="5"/>
  <c r="J115" i="5"/>
  <c r="D115" i="5"/>
  <c r="C115" i="5"/>
  <c r="B115" i="5"/>
  <c r="A115" i="5"/>
  <c r="BA64" i="5"/>
  <c r="AZ64" i="5"/>
  <c r="AT64" i="5"/>
  <c r="AS64" i="5"/>
  <c r="AM64" i="5"/>
  <c r="AL64" i="5"/>
  <c r="AF64" i="5"/>
  <c r="AE64" i="5"/>
  <c r="Y64" i="5"/>
  <c r="X64" i="5"/>
  <c r="R64" i="5"/>
  <c r="Q64" i="5"/>
  <c r="K64" i="5"/>
  <c r="J64" i="5"/>
  <c r="D64" i="5"/>
  <c r="C64" i="5"/>
  <c r="B64" i="5"/>
  <c r="A64" i="5"/>
  <c r="BA104" i="5"/>
  <c r="AZ104" i="5"/>
  <c r="AT104" i="5"/>
  <c r="AS104" i="5"/>
  <c r="AM104" i="5"/>
  <c r="AL104" i="5"/>
  <c r="AF104" i="5"/>
  <c r="AE104" i="5"/>
  <c r="Y104" i="5"/>
  <c r="X104" i="5"/>
  <c r="R104" i="5"/>
  <c r="Q104" i="5"/>
  <c r="K104" i="5"/>
  <c r="J104" i="5"/>
  <c r="D104" i="5"/>
  <c r="C104" i="5"/>
  <c r="B104" i="5"/>
  <c r="A104" i="5"/>
  <c r="BA81" i="5"/>
  <c r="AZ81" i="5"/>
  <c r="AT81" i="5"/>
  <c r="AS81" i="5"/>
  <c r="AM81" i="5"/>
  <c r="AL81" i="5"/>
  <c r="AF81" i="5"/>
  <c r="AE81" i="5"/>
  <c r="Y81" i="5"/>
  <c r="X81" i="5"/>
  <c r="R81" i="5"/>
  <c r="Q81" i="5"/>
  <c r="K81" i="5"/>
  <c r="J81" i="5"/>
  <c r="D81" i="5"/>
  <c r="C81" i="5"/>
  <c r="B81" i="5"/>
  <c r="A81" i="5"/>
  <c r="BA95" i="5"/>
  <c r="AZ95" i="5"/>
  <c r="AT95" i="5"/>
  <c r="AS95" i="5"/>
  <c r="AM95" i="5"/>
  <c r="AL95" i="5"/>
  <c r="AF95" i="5"/>
  <c r="AE95" i="5"/>
  <c r="Y95" i="5"/>
  <c r="X95" i="5"/>
  <c r="R95" i="5"/>
  <c r="Q95" i="5"/>
  <c r="K95" i="5"/>
  <c r="J95" i="5"/>
  <c r="D95" i="5"/>
  <c r="C95" i="5"/>
  <c r="B95" i="5"/>
  <c r="A95" i="5"/>
  <c r="BA19" i="5"/>
  <c r="AZ19" i="5"/>
  <c r="AT19" i="5"/>
  <c r="AS19" i="5"/>
  <c r="AM19" i="5"/>
  <c r="AL19" i="5"/>
  <c r="AF19" i="5"/>
  <c r="AE19" i="5"/>
  <c r="Y19" i="5"/>
  <c r="X19" i="5"/>
  <c r="R19" i="5"/>
  <c r="Q19" i="5"/>
  <c r="K19" i="5"/>
  <c r="J19" i="5"/>
  <c r="D19" i="5"/>
  <c r="C19" i="5"/>
  <c r="B19" i="5"/>
  <c r="A19" i="5"/>
  <c r="BA49" i="5"/>
  <c r="AZ49" i="5"/>
  <c r="AT49" i="5"/>
  <c r="AS49" i="5"/>
  <c r="AM49" i="5"/>
  <c r="AL49" i="5"/>
  <c r="AF49" i="5"/>
  <c r="AE49" i="5"/>
  <c r="Y49" i="5"/>
  <c r="X49" i="5"/>
  <c r="R49" i="5"/>
  <c r="Q49" i="5"/>
  <c r="K49" i="5"/>
  <c r="J49" i="5"/>
  <c r="D49" i="5"/>
  <c r="C49" i="5"/>
  <c r="B49" i="5"/>
  <c r="A49" i="5"/>
  <c r="BA48" i="5"/>
  <c r="AZ48" i="5"/>
  <c r="AT48" i="5"/>
  <c r="AS48" i="5"/>
  <c r="AM48" i="5"/>
  <c r="AL48" i="5"/>
  <c r="AF48" i="5"/>
  <c r="AE48" i="5"/>
  <c r="Y48" i="5"/>
  <c r="X48" i="5"/>
  <c r="R48" i="5"/>
  <c r="Q48" i="5"/>
  <c r="K48" i="5"/>
  <c r="J48" i="5"/>
  <c r="D48" i="5"/>
  <c r="C48" i="5"/>
  <c r="B48" i="5"/>
  <c r="A48" i="5"/>
  <c r="BA80" i="5"/>
  <c r="AZ80" i="5"/>
  <c r="AT80" i="5"/>
  <c r="AS80" i="5"/>
  <c r="AM80" i="5"/>
  <c r="AL80" i="5"/>
  <c r="AF80" i="5"/>
  <c r="AE80" i="5"/>
  <c r="Y80" i="5"/>
  <c r="X80" i="5"/>
  <c r="R80" i="5"/>
  <c r="Q80" i="5"/>
  <c r="K80" i="5"/>
  <c r="J80" i="5"/>
  <c r="D80" i="5"/>
  <c r="C80" i="5"/>
  <c r="B80" i="5"/>
  <c r="A80" i="5"/>
  <c r="BA4" i="5"/>
  <c r="AZ4" i="5"/>
  <c r="AT4" i="5"/>
  <c r="AS4" i="5"/>
  <c r="AM4" i="5"/>
  <c r="AL4" i="5"/>
  <c r="AF4" i="5"/>
  <c r="AE4" i="5"/>
  <c r="Y4" i="5"/>
  <c r="X4" i="5"/>
  <c r="R4" i="5"/>
  <c r="Q4" i="5"/>
  <c r="K4" i="5"/>
  <c r="J4" i="5"/>
  <c r="D4" i="5"/>
  <c r="C4" i="5"/>
  <c r="B4" i="5"/>
  <c r="A4" i="5"/>
  <c r="BA31" i="5"/>
  <c r="AZ31" i="5"/>
  <c r="AT31" i="5"/>
  <c r="AS31" i="5"/>
  <c r="AM31" i="5"/>
  <c r="AL31" i="5"/>
  <c r="AF31" i="5"/>
  <c r="AE31" i="5"/>
  <c r="Y31" i="5"/>
  <c r="X31" i="5"/>
  <c r="R31" i="5"/>
  <c r="Q31" i="5"/>
  <c r="K31" i="5"/>
  <c r="J31" i="5"/>
  <c r="D31" i="5"/>
  <c r="C31" i="5"/>
  <c r="B31" i="5"/>
  <c r="A31" i="5"/>
  <c r="BA114" i="5"/>
  <c r="AZ114" i="5"/>
  <c r="AT114" i="5"/>
  <c r="AS114" i="5"/>
  <c r="AM114" i="5"/>
  <c r="AL114" i="5"/>
  <c r="AF114" i="5"/>
  <c r="AE114" i="5"/>
  <c r="Y114" i="5"/>
  <c r="X114" i="5"/>
  <c r="R114" i="5"/>
  <c r="Q114" i="5"/>
  <c r="K114" i="5"/>
  <c r="J114" i="5"/>
  <c r="D114" i="5"/>
  <c r="C114" i="5"/>
  <c r="B114" i="5"/>
  <c r="A114" i="5"/>
  <c r="BA63" i="5"/>
  <c r="AZ63" i="5"/>
  <c r="AT63" i="5"/>
  <c r="AS63" i="5"/>
  <c r="AM63" i="5"/>
  <c r="AL63" i="5"/>
  <c r="AF63" i="5"/>
  <c r="AE63" i="5"/>
  <c r="Y63" i="5"/>
  <c r="X63" i="5"/>
  <c r="R63" i="5"/>
  <c r="Q63" i="5"/>
  <c r="K63" i="5"/>
  <c r="J63" i="5"/>
  <c r="D63" i="5"/>
  <c r="C63" i="5"/>
  <c r="B63" i="5"/>
  <c r="A63" i="5"/>
  <c r="BA103" i="5"/>
  <c r="AZ103" i="5"/>
  <c r="AT103" i="5"/>
  <c r="AS103" i="5"/>
  <c r="AM103" i="5"/>
  <c r="AL103" i="5"/>
  <c r="AF103" i="5"/>
  <c r="AE103" i="5"/>
  <c r="Y103" i="5"/>
  <c r="X103" i="5"/>
  <c r="R103" i="5"/>
  <c r="Q103" i="5"/>
  <c r="K103" i="5"/>
  <c r="J103" i="5"/>
  <c r="D103" i="5"/>
  <c r="C103" i="5"/>
  <c r="B103" i="5"/>
  <c r="A103" i="5"/>
  <c r="BA79" i="5"/>
  <c r="AZ79" i="5"/>
  <c r="AT79" i="5"/>
  <c r="AS79" i="5"/>
  <c r="AM79" i="5"/>
  <c r="AL79" i="5"/>
  <c r="AF79" i="5"/>
  <c r="AE79" i="5"/>
  <c r="Y79" i="5"/>
  <c r="X79" i="5"/>
  <c r="R79" i="5"/>
  <c r="Q79" i="5"/>
  <c r="K79" i="5"/>
  <c r="J79" i="5"/>
  <c r="D79" i="5"/>
  <c r="C79" i="5"/>
  <c r="B79" i="5"/>
  <c r="A79" i="5"/>
  <c r="BA94" i="5"/>
  <c r="AZ94" i="5"/>
  <c r="AT94" i="5"/>
  <c r="AS94" i="5"/>
  <c r="AM94" i="5"/>
  <c r="AL94" i="5"/>
  <c r="AF94" i="5"/>
  <c r="AE94" i="5"/>
  <c r="Y94" i="5"/>
  <c r="X94" i="5"/>
  <c r="R94" i="5"/>
  <c r="Q94" i="5"/>
  <c r="K94" i="5"/>
  <c r="J94" i="5"/>
  <c r="D94" i="5"/>
  <c r="C94" i="5"/>
  <c r="B94" i="5"/>
  <c r="A94" i="5"/>
  <c r="BA18" i="5"/>
  <c r="AZ18" i="5"/>
  <c r="AT18" i="5"/>
  <c r="AS18" i="5"/>
  <c r="AM18" i="5"/>
  <c r="AL18" i="5"/>
  <c r="AF18" i="5"/>
  <c r="AE18" i="5"/>
  <c r="Y18" i="5"/>
  <c r="X18" i="5"/>
  <c r="R18" i="5"/>
  <c r="Q18" i="5"/>
  <c r="K18" i="5"/>
  <c r="J18" i="5"/>
  <c r="D18" i="5"/>
  <c r="C18" i="5"/>
  <c r="B18" i="5"/>
  <c r="A18" i="5"/>
  <c r="BA47" i="5"/>
  <c r="AZ47" i="5"/>
  <c r="AT47" i="5"/>
  <c r="AS47" i="5"/>
  <c r="AM47" i="5"/>
  <c r="AL47" i="5"/>
  <c r="AF47" i="5"/>
  <c r="AE47" i="5"/>
  <c r="Y47" i="5"/>
  <c r="X47" i="5"/>
  <c r="R47" i="5"/>
  <c r="Q47" i="5"/>
  <c r="K47" i="5"/>
  <c r="J47" i="5"/>
  <c r="D47" i="5"/>
  <c r="C47" i="5"/>
  <c r="B47" i="5"/>
  <c r="A47" i="5"/>
  <c r="BA46" i="5"/>
  <c r="AZ46" i="5"/>
  <c r="AT46" i="5"/>
  <c r="AS46" i="5"/>
  <c r="AM46" i="5"/>
  <c r="AL46" i="5"/>
  <c r="AF46" i="5"/>
  <c r="AE46" i="5"/>
  <c r="Y46" i="5"/>
  <c r="X46" i="5"/>
  <c r="R46" i="5"/>
  <c r="Q46" i="5"/>
  <c r="K46" i="5"/>
  <c r="J46" i="5"/>
  <c r="D46" i="5"/>
  <c r="C46" i="5"/>
  <c r="B46" i="5"/>
  <c r="A46" i="5"/>
  <c r="BA78" i="5"/>
  <c r="AZ78" i="5"/>
  <c r="AT78" i="5"/>
  <c r="AS78" i="5"/>
  <c r="AM78" i="5"/>
  <c r="AL78" i="5"/>
  <c r="AF78" i="5"/>
  <c r="AE78" i="5"/>
  <c r="Y78" i="5"/>
  <c r="X78" i="5"/>
  <c r="R78" i="5"/>
  <c r="Q78" i="5"/>
  <c r="K78" i="5"/>
  <c r="J78" i="5"/>
  <c r="D78" i="5"/>
  <c r="C78" i="5"/>
  <c r="B78" i="5"/>
  <c r="A78" i="5"/>
  <c r="BA5" i="5"/>
  <c r="AZ5" i="5"/>
  <c r="AT5" i="5"/>
  <c r="AS5" i="5"/>
  <c r="AM5" i="5"/>
  <c r="AL5" i="5"/>
  <c r="AF5" i="5"/>
  <c r="AE5" i="5"/>
  <c r="Y5" i="5"/>
  <c r="X5" i="5"/>
  <c r="R5" i="5"/>
  <c r="Q5" i="5"/>
  <c r="K5" i="5"/>
  <c r="J5" i="5"/>
  <c r="D5" i="5"/>
  <c r="C5" i="5"/>
  <c r="B5" i="5"/>
  <c r="A5" i="5"/>
  <c r="BA30" i="5"/>
  <c r="AZ30" i="5"/>
  <c r="AT30" i="5"/>
  <c r="AS30" i="5"/>
  <c r="AM30" i="5"/>
  <c r="AL30" i="5"/>
  <c r="AF30" i="5"/>
  <c r="AE30" i="5"/>
  <c r="Y30" i="5"/>
  <c r="X30" i="5"/>
  <c r="R30" i="5"/>
  <c r="Q30" i="5"/>
  <c r="K30" i="5"/>
  <c r="J30" i="5"/>
  <c r="D30" i="5"/>
  <c r="C30" i="5"/>
  <c r="B30" i="5"/>
  <c r="A30" i="5"/>
  <c r="BA113" i="5"/>
  <c r="AZ113" i="5"/>
  <c r="AT113" i="5"/>
  <c r="AS113" i="5"/>
  <c r="AM113" i="5"/>
  <c r="AL113" i="5"/>
  <c r="AF113" i="5"/>
  <c r="AE113" i="5"/>
  <c r="Y113" i="5"/>
  <c r="X113" i="5"/>
  <c r="R113" i="5"/>
  <c r="Q113" i="5"/>
  <c r="K113" i="5"/>
  <c r="J113" i="5"/>
  <c r="D113" i="5"/>
  <c r="C113" i="5"/>
  <c r="B113" i="5"/>
  <c r="A113" i="5"/>
  <c r="BA62" i="5"/>
  <c r="AZ62" i="5"/>
  <c r="AT62" i="5"/>
  <c r="AS62" i="5"/>
  <c r="AM62" i="5"/>
  <c r="AL62" i="5"/>
  <c r="AF62" i="5"/>
  <c r="AE62" i="5"/>
  <c r="Y62" i="5"/>
  <c r="X62" i="5"/>
  <c r="R62" i="5"/>
  <c r="Q62" i="5"/>
  <c r="K62" i="5"/>
  <c r="J62" i="5"/>
  <c r="D62" i="5"/>
  <c r="C62" i="5"/>
  <c r="B62" i="5"/>
  <c r="A62" i="5"/>
  <c r="BA102" i="5"/>
  <c r="AZ102" i="5"/>
  <c r="AT102" i="5"/>
  <c r="AS102" i="5"/>
  <c r="AM102" i="5"/>
  <c r="AL102" i="5"/>
  <c r="AF102" i="5"/>
  <c r="AE102" i="5"/>
  <c r="Y102" i="5"/>
  <c r="X102" i="5"/>
  <c r="R102" i="5"/>
  <c r="Q102" i="5"/>
  <c r="K102" i="5"/>
  <c r="J102" i="5"/>
  <c r="D102" i="5"/>
  <c r="C102" i="5"/>
  <c r="B102" i="5"/>
  <c r="A102" i="5"/>
  <c r="BA77" i="5"/>
  <c r="AZ77" i="5"/>
  <c r="AT77" i="5"/>
  <c r="AS77" i="5"/>
  <c r="AM77" i="5"/>
  <c r="AL77" i="5"/>
  <c r="AF77" i="5"/>
  <c r="AE77" i="5"/>
  <c r="Y77" i="5"/>
  <c r="X77" i="5"/>
  <c r="R77" i="5"/>
  <c r="Q77" i="5"/>
  <c r="K77" i="5"/>
  <c r="J77" i="5"/>
  <c r="D77" i="5"/>
  <c r="C77" i="5"/>
  <c r="B77" i="5"/>
  <c r="A77" i="5"/>
  <c r="BA93" i="5"/>
  <c r="AZ93" i="5"/>
  <c r="AT93" i="5"/>
  <c r="AS93" i="5"/>
  <c r="AM93" i="5"/>
  <c r="AL93" i="5"/>
  <c r="AF93" i="5"/>
  <c r="AE93" i="5"/>
  <c r="Y93" i="5"/>
  <c r="X93" i="5"/>
  <c r="R93" i="5"/>
  <c r="Q93" i="5"/>
  <c r="K93" i="5"/>
  <c r="J93" i="5"/>
  <c r="D93" i="5"/>
  <c r="C93" i="5"/>
  <c r="B93" i="5"/>
  <c r="A93" i="5"/>
  <c r="BA17" i="5"/>
  <c r="AZ17" i="5"/>
  <c r="AT17" i="5"/>
  <c r="AS17" i="5"/>
  <c r="AM17" i="5"/>
  <c r="AL17" i="5"/>
  <c r="AF17" i="5"/>
  <c r="AE17" i="5"/>
  <c r="Y17" i="5"/>
  <c r="X17" i="5"/>
  <c r="R17" i="5"/>
  <c r="Q17" i="5"/>
  <c r="K17" i="5"/>
  <c r="J17" i="5"/>
  <c r="D17" i="5"/>
  <c r="C17" i="5"/>
  <c r="B17" i="5"/>
  <c r="A17" i="5"/>
  <c r="BA45" i="5"/>
  <c r="AZ45" i="5"/>
  <c r="AT45" i="5"/>
  <c r="AS45" i="5"/>
  <c r="AM45" i="5"/>
  <c r="AL45" i="5"/>
  <c r="AF45" i="5"/>
  <c r="AE45" i="5"/>
  <c r="Y45" i="5"/>
  <c r="X45" i="5"/>
  <c r="R45" i="5"/>
  <c r="Q45" i="5"/>
  <c r="K45" i="5"/>
  <c r="J45" i="5"/>
  <c r="D45" i="5"/>
  <c r="C45" i="5"/>
  <c r="B45" i="5"/>
  <c r="A45" i="5"/>
  <c r="BA44" i="5"/>
  <c r="AZ44" i="5"/>
  <c r="AT44" i="5"/>
  <c r="AS44" i="5"/>
  <c r="AM44" i="5"/>
  <c r="AL44" i="5"/>
  <c r="AF44" i="5"/>
  <c r="AE44" i="5"/>
  <c r="Y44" i="5"/>
  <c r="X44" i="5"/>
  <c r="R44" i="5"/>
  <c r="Q44" i="5"/>
  <c r="K44" i="5"/>
  <c r="J44" i="5"/>
  <c r="D44" i="5"/>
  <c r="C44" i="5"/>
  <c r="B44" i="5"/>
  <c r="A44" i="5"/>
  <c r="BA76" i="5"/>
  <c r="AZ76" i="5"/>
  <c r="AT76" i="5"/>
  <c r="AS76" i="5"/>
  <c r="AM76" i="5"/>
  <c r="AL76" i="5"/>
  <c r="AF76" i="5"/>
  <c r="AE76" i="5"/>
  <c r="Y76" i="5"/>
  <c r="X76" i="5"/>
  <c r="R76" i="5"/>
  <c r="Q76" i="5"/>
  <c r="K76" i="5"/>
  <c r="J76" i="5"/>
  <c r="D76" i="5"/>
  <c r="C76" i="5"/>
  <c r="B76" i="5"/>
  <c r="A76" i="5"/>
  <c r="BA6" i="5"/>
  <c r="AZ6" i="5"/>
  <c r="AT6" i="5"/>
  <c r="AS6" i="5"/>
  <c r="AM6" i="5"/>
  <c r="AL6" i="5"/>
  <c r="AF6" i="5"/>
  <c r="AE6" i="5"/>
  <c r="Y6" i="5"/>
  <c r="X6" i="5"/>
  <c r="R6" i="5"/>
  <c r="Q6" i="5"/>
  <c r="K6" i="5"/>
  <c r="J6" i="5"/>
  <c r="D6" i="5"/>
  <c r="C6" i="5"/>
  <c r="B6" i="5"/>
  <c r="A6" i="5"/>
  <c r="BA29" i="5"/>
  <c r="AZ29" i="5"/>
  <c r="AT29" i="5"/>
  <c r="AS29" i="5"/>
  <c r="AM29" i="5"/>
  <c r="AL29" i="5"/>
  <c r="AF29" i="5"/>
  <c r="AE29" i="5"/>
  <c r="Y29" i="5"/>
  <c r="X29" i="5"/>
  <c r="R29" i="5"/>
  <c r="Q29" i="5"/>
  <c r="K29" i="5"/>
  <c r="J29" i="5"/>
  <c r="D29" i="5"/>
  <c r="C29" i="5"/>
  <c r="B29" i="5"/>
  <c r="A29" i="5"/>
  <c r="BA112" i="5"/>
  <c r="AZ112" i="5"/>
  <c r="AT112" i="5"/>
  <c r="AS112" i="5"/>
  <c r="AM112" i="5"/>
  <c r="AL112" i="5"/>
  <c r="AF112" i="5"/>
  <c r="AE112" i="5"/>
  <c r="Y112" i="5"/>
  <c r="X112" i="5"/>
  <c r="R112" i="5"/>
  <c r="Q112" i="5"/>
  <c r="K112" i="5"/>
  <c r="J112" i="5"/>
  <c r="D112" i="5"/>
  <c r="C112" i="5"/>
  <c r="B112" i="5"/>
  <c r="A112" i="5"/>
  <c r="BA61" i="5"/>
  <c r="AZ61" i="5"/>
  <c r="AT61" i="5"/>
  <c r="AS61" i="5"/>
  <c r="AM61" i="5"/>
  <c r="AL61" i="5"/>
  <c r="AF61" i="5"/>
  <c r="AE61" i="5"/>
  <c r="Y61" i="5"/>
  <c r="X61" i="5"/>
  <c r="R61" i="5"/>
  <c r="Q61" i="5"/>
  <c r="K61" i="5"/>
  <c r="J61" i="5"/>
  <c r="D61" i="5"/>
  <c r="C61" i="5"/>
  <c r="B61" i="5"/>
  <c r="A61" i="5"/>
  <c r="BA101" i="5"/>
  <c r="AZ101" i="5"/>
  <c r="AT101" i="5"/>
  <c r="AS101" i="5"/>
  <c r="AM101" i="5"/>
  <c r="AL101" i="5"/>
  <c r="AF101" i="5"/>
  <c r="AE101" i="5"/>
  <c r="Y101" i="5"/>
  <c r="X101" i="5"/>
  <c r="R101" i="5"/>
  <c r="Q101" i="5"/>
  <c r="K101" i="5"/>
  <c r="J101" i="5"/>
  <c r="D101" i="5"/>
  <c r="C101" i="5"/>
  <c r="B101" i="5"/>
  <c r="A101" i="5"/>
  <c r="BA121" i="5"/>
  <c r="AZ121" i="5"/>
  <c r="AT121" i="5"/>
  <c r="AS121" i="5"/>
  <c r="AM121" i="5"/>
  <c r="AL121" i="5"/>
  <c r="AF121" i="5"/>
  <c r="AE121" i="5"/>
  <c r="Y121" i="5"/>
  <c r="X121" i="5"/>
  <c r="R121" i="5"/>
  <c r="Q121" i="5"/>
  <c r="K121" i="5"/>
  <c r="J121" i="5"/>
  <c r="D121" i="5"/>
  <c r="C121" i="5"/>
  <c r="B121" i="5"/>
  <c r="A121" i="5"/>
  <c r="BA92" i="5"/>
  <c r="AZ92" i="5"/>
  <c r="AT92" i="5"/>
  <c r="AS92" i="5"/>
  <c r="AM92" i="5"/>
  <c r="AL92" i="5"/>
  <c r="AF92" i="5"/>
  <c r="AE92" i="5"/>
  <c r="Y92" i="5"/>
  <c r="X92" i="5"/>
  <c r="R92" i="5"/>
  <c r="Q92" i="5"/>
  <c r="K92" i="5"/>
  <c r="J92" i="5"/>
  <c r="D92" i="5"/>
  <c r="C92" i="5"/>
  <c r="B92" i="5"/>
  <c r="A92" i="5"/>
  <c r="BA16" i="5"/>
  <c r="AZ16" i="5"/>
  <c r="AT16" i="5"/>
  <c r="AS16" i="5"/>
  <c r="AM16" i="5"/>
  <c r="AL16" i="5"/>
  <c r="AF16" i="5"/>
  <c r="AE16" i="5"/>
  <c r="Y16" i="5"/>
  <c r="X16" i="5"/>
  <c r="R16" i="5"/>
  <c r="Q16" i="5"/>
  <c r="K16" i="5"/>
  <c r="J16" i="5"/>
  <c r="D16" i="5"/>
  <c r="C16" i="5"/>
  <c r="B16" i="5"/>
  <c r="A16" i="5"/>
  <c r="BA43" i="5"/>
  <c r="AZ43" i="5"/>
  <c r="AT43" i="5"/>
  <c r="AS43" i="5"/>
  <c r="AM43" i="5"/>
  <c r="AL43" i="5"/>
  <c r="AF43" i="5"/>
  <c r="AE43" i="5"/>
  <c r="Y43" i="5"/>
  <c r="X43" i="5"/>
  <c r="R43" i="5"/>
  <c r="Q43" i="5"/>
  <c r="K43" i="5"/>
  <c r="J43" i="5"/>
  <c r="D43" i="5"/>
  <c r="C43" i="5"/>
  <c r="B43" i="5"/>
  <c r="A43" i="5"/>
  <c r="BA42" i="5"/>
  <c r="AZ42" i="5"/>
  <c r="AT42" i="5"/>
  <c r="AS42" i="5"/>
  <c r="AM42" i="5"/>
  <c r="AL42" i="5"/>
  <c r="AF42" i="5"/>
  <c r="AE42" i="5"/>
  <c r="Y42" i="5"/>
  <c r="X42" i="5"/>
  <c r="R42" i="5"/>
  <c r="Q42" i="5"/>
  <c r="K42" i="5"/>
  <c r="J42" i="5"/>
  <c r="D42" i="5"/>
  <c r="C42" i="5"/>
  <c r="B42" i="5"/>
  <c r="A42" i="5"/>
  <c r="BA75" i="5"/>
  <c r="AZ75" i="5"/>
  <c r="AT75" i="5"/>
  <c r="AS75" i="5"/>
  <c r="AM75" i="5"/>
  <c r="AL75" i="5"/>
  <c r="AF75" i="5"/>
  <c r="AE75" i="5"/>
  <c r="Y75" i="5"/>
  <c r="X75" i="5"/>
  <c r="R75" i="5"/>
  <c r="Q75" i="5"/>
  <c r="K75" i="5"/>
  <c r="J75" i="5"/>
  <c r="D75" i="5"/>
  <c r="C75" i="5"/>
  <c r="B75" i="5"/>
  <c r="A75" i="5"/>
  <c r="BA9" i="5"/>
  <c r="AZ9" i="5"/>
  <c r="AT9" i="5"/>
  <c r="AS9" i="5"/>
  <c r="AM9" i="5"/>
  <c r="AL9" i="5"/>
  <c r="AF9" i="5"/>
  <c r="AE9" i="5"/>
  <c r="Y9" i="5"/>
  <c r="X9" i="5"/>
  <c r="R9" i="5"/>
  <c r="Q9" i="5"/>
  <c r="K9" i="5"/>
  <c r="J9" i="5"/>
  <c r="D9" i="5"/>
  <c r="C9" i="5"/>
  <c r="B9" i="5"/>
  <c r="A9" i="5"/>
  <c r="BA28" i="5"/>
  <c r="AZ28" i="5"/>
  <c r="AT28" i="5"/>
  <c r="AS28" i="5"/>
  <c r="AM28" i="5"/>
  <c r="AL28" i="5"/>
  <c r="AF28" i="5"/>
  <c r="AE28" i="5"/>
  <c r="Y28" i="5"/>
  <c r="X28" i="5"/>
  <c r="R28" i="5"/>
  <c r="Q28" i="5"/>
  <c r="K28" i="5"/>
  <c r="J28" i="5"/>
  <c r="D28" i="5"/>
  <c r="C28" i="5"/>
  <c r="B28" i="5"/>
  <c r="A28" i="5"/>
  <c r="BA111" i="5"/>
  <c r="AZ111" i="5"/>
  <c r="AT111" i="5"/>
  <c r="AS111" i="5"/>
  <c r="AM111" i="5"/>
  <c r="AL111" i="5"/>
  <c r="AF111" i="5"/>
  <c r="AE111" i="5"/>
  <c r="Y111" i="5"/>
  <c r="X111" i="5"/>
  <c r="R111" i="5"/>
  <c r="Q111" i="5"/>
  <c r="K111" i="5"/>
  <c r="J111" i="5"/>
  <c r="D111" i="5"/>
  <c r="C111" i="5"/>
  <c r="B111" i="5"/>
  <c r="A111" i="5"/>
  <c r="BA60" i="5"/>
  <c r="AZ60" i="5"/>
  <c r="AT60" i="5"/>
  <c r="AS60" i="5"/>
  <c r="AM60" i="5"/>
  <c r="AL60" i="5"/>
  <c r="AF60" i="5"/>
  <c r="AE60" i="5"/>
  <c r="Y60" i="5"/>
  <c r="X60" i="5"/>
  <c r="R60" i="5"/>
  <c r="Q60" i="5"/>
  <c r="K60" i="5"/>
  <c r="J60" i="5"/>
  <c r="D60" i="5"/>
  <c r="C60" i="5"/>
  <c r="B60" i="5"/>
  <c r="A60" i="5"/>
  <c r="BA100" i="5"/>
  <c r="AZ100" i="5"/>
  <c r="AT100" i="5"/>
  <c r="AS100" i="5"/>
  <c r="AM100" i="5"/>
  <c r="AL100" i="5"/>
  <c r="AF100" i="5"/>
  <c r="AE100" i="5"/>
  <c r="Y100" i="5"/>
  <c r="X100" i="5"/>
  <c r="R100" i="5"/>
  <c r="Q100" i="5"/>
  <c r="K100" i="5"/>
  <c r="J100" i="5"/>
  <c r="D100" i="5"/>
  <c r="C100" i="5"/>
  <c r="B100" i="5"/>
  <c r="A100" i="5"/>
  <c r="BA74" i="5"/>
  <c r="AZ74" i="5"/>
  <c r="AT74" i="5"/>
  <c r="AS74" i="5"/>
  <c r="AM74" i="5"/>
  <c r="AL74" i="5"/>
  <c r="AF74" i="5"/>
  <c r="AE74" i="5"/>
  <c r="Y74" i="5"/>
  <c r="X74" i="5"/>
  <c r="R74" i="5"/>
  <c r="Q74" i="5"/>
  <c r="K74" i="5"/>
  <c r="J74" i="5"/>
  <c r="D74" i="5"/>
  <c r="C74" i="5"/>
  <c r="B74" i="5"/>
  <c r="A74" i="5"/>
  <c r="BA91" i="5"/>
  <c r="AZ91" i="5"/>
  <c r="AT91" i="5"/>
  <c r="AS91" i="5"/>
  <c r="AM91" i="5"/>
  <c r="AL91" i="5"/>
  <c r="AF91" i="5"/>
  <c r="AE91" i="5"/>
  <c r="Y91" i="5"/>
  <c r="X91" i="5"/>
  <c r="R91" i="5"/>
  <c r="Q91" i="5"/>
  <c r="K91" i="5"/>
  <c r="J91" i="5"/>
  <c r="D91" i="5"/>
  <c r="C91" i="5"/>
  <c r="B91" i="5"/>
  <c r="A91" i="5"/>
  <c r="BA15" i="5"/>
  <c r="AZ15" i="5"/>
  <c r="AT15" i="5"/>
  <c r="AS15" i="5"/>
  <c r="AM15" i="5"/>
  <c r="AL15" i="5"/>
  <c r="AF15" i="5"/>
  <c r="AE15" i="5"/>
  <c r="Y15" i="5"/>
  <c r="X15" i="5"/>
  <c r="R15" i="5"/>
  <c r="Q15" i="5"/>
  <c r="K15" i="5"/>
  <c r="J15" i="5"/>
  <c r="D15" i="5"/>
  <c r="C15" i="5"/>
  <c r="B15" i="5"/>
  <c r="A15" i="5"/>
  <c r="BA41" i="5"/>
  <c r="AZ41" i="5"/>
  <c r="AT41" i="5"/>
  <c r="AS41" i="5"/>
  <c r="AM41" i="5"/>
  <c r="AL41" i="5"/>
  <c r="AF41" i="5"/>
  <c r="AE41" i="5"/>
  <c r="Y41" i="5"/>
  <c r="X41" i="5"/>
  <c r="R41" i="5"/>
  <c r="Q41" i="5"/>
  <c r="K41" i="5"/>
  <c r="J41" i="5"/>
  <c r="D41" i="5"/>
  <c r="C41" i="5"/>
  <c r="B41" i="5"/>
  <c r="A41" i="5"/>
  <c r="BA40" i="5"/>
  <c r="AZ40" i="5"/>
  <c r="AT40" i="5"/>
  <c r="AS40" i="5"/>
  <c r="AM40" i="5"/>
  <c r="AL40" i="5"/>
  <c r="AF40" i="5"/>
  <c r="AE40" i="5"/>
  <c r="Y40" i="5"/>
  <c r="X40" i="5"/>
  <c r="R40" i="5"/>
  <c r="Q40" i="5"/>
  <c r="K40" i="5"/>
  <c r="J40" i="5"/>
  <c r="D40" i="5"/>
  <c r="C40" i="5"/>
  <c r="B40" i="5"/>
  <c r="A40" i="5"/>
  <c r="BA73" i="5"/>
  <c r="AZ73" i="5"/>
  <c r="AT73" i="5"/>
  <c r="AS73" i="5"/>
  <c r="AM73" i="5"/>
  <c r="AL73" i="5"/>
  <c r="AF73" i="5"/>
  <c r="AE73" i="5"/>
  <c r="Y73" i="5"/>
  <c r="X73" i="5"/>
  <c r="R73" i="5"/>
  <c r="Q73" i="5"/>
  <c r="K73" i="5"/>
  <c r="J73" i="5"/>
  <c r="D73" i="5"/>
  <c r="C73" i="5"/>
  <c r="B73" i="5"/>
  <c r="A73" i="5"/>
  <c r="BA8" i="5"/>
  <c r="AZ8" i="5"/>
  <c r="AT8" i="5"/>
  <c r="AS8" i="5"/>
  <c r="AM8" i="5"/>
  <c r="AL8" i="5"/>
  <c r="AF8" i="5"/>
  <c r="AE8" i="5"/>
  <c r="Y8" i="5"/>
  <c r="X8" i="5"/>
  <c r="R8" i="5"/>
  <c r="Q8" i="5"/>
  <c r="K8" i="5"/>
  <c r="J8" i="5"/>
  <c r="D8" i="5"/>
  <c r="C8" i="5"/>
  <c r="B8" i="5"/>
  <c r="A8" i="5"/>
  <c r="C6" i="3" s="1"/>
  <c r="BA27" i="5"/>
  <c r="AZ27" i="5"/>
  <c r="AT27" i="5"/>
  <c r="AS27" i="5"/>
  <c r="AM27" i="5"/>
  <c r="AL27" i="5"/>
  <c r="AF27" i="5"/>
  <c r="AE27" i="5"/>
  <c r="Y27" i="5"/>
  <c r="X27" i="5"/>
  <c r="R27" i="5"/>
  <c r="Q27" i="5"/>
  <c r="K27" i="5"/>
  <c r="J27" i="5"/>
  <c r="D27" i="5"/>
  <c r="C27" i="5"/>
  <c r="B27" i="5"/>
  <c r="A27" i="5"/>
  <c r="BA110" i="5"/>
  <c r="AZ110" i="5"/>
  <c r="AT110" i="5"/>
  <c r="AS110" i="5"/>
  <c r="AM110" i="5"/>
  <c r="AL110" i="5"/>
  <c r="AF110" i="5"/>
  <c r="AE110" i="5"/>
  <c r="Y110" i="5"/>
  <c r="X110" i="5"/>
  <c r="R110" i="5"/>
  <c r="Q110" i="5"/>
  <c r="K110" i="5"/>
  <c r="J110" i="5"/>
  <c r="D110" i="5"/>
  <c r="C110" i="5"/>
  <c r="B110" i="5"/>
  <c r="A110" i="5"/>
  <c r="BA59" i="5"/>
  <c r="AZ59" i="5"/>
  <c r="AT59" i="5"/>
  <c r="AS59" i="5"/>
  <c r="AM59" i="5"/>
  <c r="AL59" i="5"/>
  <c r="AF59" i="5"/>
  <c r="AE59" i="5"/>
  <c r="Y59" i="5"/>
  <c r="X59" i="5"/>
  <c r="R59" i="5"/>
  <c r="Q59" i="5"/>
  <c r="K59" i="5"/>
  <c r="J59" i="5"/>
  <c r="D59" i="5"/>
  <c r="C59" i="5"/>
  <c r="B59" i="5"/>
  <c r="A59" i="5"/>
  <c r="BA120" i="5"/>
  <c r="AZ120" i="5"/>
  <c r="AT120" i="5"/>
  <c r="AS120" i="5"/>
  <c r="AM120" i="5"/>
  <c r="AL120" i="5"/>
  <c r="AF120" i="5"/>
  <c r="AE120" i="5"/>
  <c r="Y120" i="5"/>
  <c r="X120" i="5"/>
  <c r="R120" i="5"/>
  <c r="Q120" i="5"/>
  <c r="K120" i="5"/>
  <c r="J120" i="5"/>
  <c r="D120" i="5"/>
  <c r="C120" i="5"/>
  <c r="B120" i="5"/>
  <c r="A120" i="5"/>
  <c r="BA72" i="5"/>
  <c r="AZ72" i="5"/>
  <c r="AT72" i="5"/>
  <c r="AS72" i="5"/>
  <c r="AM72" i="5"/>
  <c r="AL72" i="5"/>
  <c r="AF72" i="5"/>
  <c r="AE72" i="5"/>
  <c r="Y72" i="5"/>
  <c r="X72" i="5"/>
  <c r="R72" i="5"/>
  <c r="Q72" i="5"/>
  <c r="K72" i="5"/>
  <c r="J72" i="5"/>
  <c r="D72" i="5"/>
  <c r="C72" i="5"/>
  <c r="B72" i="5"/>
  <c r="A72" i="5"/>
  <c r="BA90" i="5"/>
  <c r="AZ90" i="5"/>
  <c r="AT90" i="5"/>
  <c r="AS90" i="5"/>
  <c r="AM90" i="5"/>
  <c r="AL90" i="5"/>
  <c r="AF90" i="5"/>
  <c r="AE90" i="5"/>
  <c r="Y90" i="5"/>
  <c r="X90" i="5"/>
  <c r="R90" i="5"/>
  <c r="Q90" i="5"/>
  <c r="K90" i="5"/>
  <c r="J90" i="5"/>
  <c r="D90" i="5"/>
  <c r="C90" i="5"/>
  <c r="B90" i="5"/>
  <c r="A90" i="5"/>
  <c r="BA14" i="5"/>
  <c r="AZ14" i="5"/>
  <c r="AT14" i="5"/>
  <c r="AS14" i="5"/>
  <c r="AM14" i="5"/>
  <c r="AL14" i="5"/>
  <c r="AF14" i="5"/>
  <c r="AE14" i="5"/>
  <c r="Y14" i="5"/>
  <c r="X14" i="5"/>
  <c r="R14" i="5"/>
  <c r="Q14" i="5"/>
  <c r="K14" i="5"/>
  <c r="J14" i="5"/>
  <c r="D14" i="5"/>
  <c r="C14" i="5"/>
  <c r="B14" i="5"/>
  <c r="A14" i="5"/>
  <c r="BA39" i="5"/>
  <c r="AZ39" i="5"/>
  <c r="AT39" i="5"/>
  <c r="AS39" i="5"/>
  <c r="AM39" i="5"/>
  <c r="AL39" i="5"/>
  <c r="AF39" i="5"/>
  <c r="AE39" i="5"/>
  <c r="Y39" i="5"/>
  <c r="X39" i="5"/>
  <c r="R39" i="5"/>
  <c r="Q39" i="5"/>
  <c r="K39" i="5"/>
  <c r="J39" i="5"/>
  <c r="D39" i="5"/>
  <c r="C39" i="5"/>
  <c r="B39" i="5"/>
  <c r="A39" i="5"/>
  <c r="BA38" i="5"/>
  <c r="AZ38" i="5"/>
  <c r="AT38" i="5"/>
  <c r="AS38" i="5"/>
  <c r="AM38" i="5"/>
  <c r="AL38" i="5"/>
  <c r="AF38" i="5"/>
  <c r="AE38" i="5"/>
  <c r="Y38" i="5"/>
  <c r="X38" i="5"/>
  <c r="R38" i="5"/>
  <c r="Q38" i="5"/>
  <c r="K38" i="5"/>
  <c r="J38" i="5"/>
  <c r="D38" i="5"/>
  <c r="C38" i="5"/>
  <c r="B38" i="5"/>
  <c r="A38" i="5"/>
  <c r="BA71" i="5"/>
  <c r="AZ71" i="5"/>
  <c r="AT71" i="5"/>
  <c r="AS71" i="5"/>
  <c r="AM71" i="5"/>
  <c r="AL71" i="5"/>
  <c r="AF71" i="5"/>
  <c r="AE71" i="5"/>
  <c r="Y71" i="5"/>
  <c r="X71" i="5"/>
  <c r="R71" i="5"/>
  <c r="Q71" i="5"/>
  <c r="K71" i="5"/>
  <c r="J71" i="5"/>
  <c r="D71" i="5"/>
  <c r="C71" i="5"/>
  <c r="B71" i="5"/>
  <c r="A71" i="5"/>
  <c r="BA7" i="5"/>
  <c r="AZ7" i="5"/>
  <c r="AT7" i="5"/>
  <c r="AS7" i="5"/>
  <c r="AM7" i="5"/>
  <c r="AL7" i="5"/>
  <c r="AF7" i="5"/>
  <c r="AE7" i="5"/>
  <c r="Y7" i="5"/>
  <c r="X7" i="5"/>
  <c r="R7" i="5"/>
  <c r="Q7" i="5"/>
  <c r="K7" i="5"/>
  <c r="J7" i="5"/>
  <c r="D7" i="5"/>
  <c r="C7" i="5"/>
  <c r="B7" i="5"/>
  <c r="A7" i="5"/>
  <c r="BA26" i="5"/>
  <c r="AZ26" i="5"/>
  <c r="AT26" i="5"/>
  <c r="AS26" i="5"/>
  <c r="AM26" i="5"/>
  <c r="AL26" i="5"/>
  <c r="AF26" i="5"/>
  <c r="AE26" i="5"/>
  <c r="Y26" i="5"/>
  <c r="X26" i="5"/>
  <c r="R26" i="5"/>
  <c r="Q26" i="5"/>
  <c r="K26" i="5"/>
  <c r="J26" i="5"/>
  <c r="D26" i="5"/>
  <c r="C26" i="5"/>
  <c r="B26" i="5"/>
  <c r="A26" i="5"/>
  <c r="BA109" i="5"/>
  <c r="AZ109" i="5"/>
  <c r="AT109" i="5"/>
  <c r="AS109" i="5"/>
  <c r="AM109" i="5"/>
  <c r="AL109" i="5"/>
  <c r="AF109" i="5"/>
  <c r="AE109" i="5"/>
  <c r="Y109" i="5"/>
  <c r="X109" i="5"/>
  <c r="R109" i="5"/>
  <c r="Q109" i="5"/>
  <c r="K109" i="5"/>
  <c r="J109" i="5"/>
  <c r="D109" i="5"/>
  <c r="C109" i="5"/>
  <c r="B109" i="5"/>
  <c r="A109" i="5"/>
  <c r="BA58" i="5"/>
  <c r="AZ58" i="5"/>
  <c r="AT58" i="5"/>
  <c r="AS58" i="5"/>
  <c r="AM58" i="5"/>
  <c r="AL58" i="5"/>
  <c r="AF58" i="5"/>
  <c r="AE58" i="5"/>
  <c r="Y58" i="5"/>
  <c r="X58" i="5"/>
  <c r="R58" i="5"/>
  <c r="Q58" i="5"/>
  <c r="K58" i="5"/>
  <c r="J58" i="5"/>
  <c r="D58" i="5"/>
  <c r="C58" i="5"/>
  <c r="B58" i="5"/>
  <c r="A58" i="5"/>
  <c r="BA99" i="5"/>
  <c r="AZ99" i="5"/>
  <c r="AT99" i="5"/>
  <c r="AS99" i="5"/>
  <c r="AM99" i="5"/>
  <c r="AL99" i="5"/>
  <c r="AF99" i="5"/>
  <c r="AE99" i="5"/>
  <c r="Y99" i="5"/>
  <c r="X99" i="5"/>
  <c r="R99" i="5"/>
  <c r="Q99" i="5"/>
  <c r="K99" i="5"/>
  <c r="J99" i="5"/>
  <c r="D99" i="5"/>
  <c r="C99" i="5"/>
  <c r="B99" i="5"/>
  <c r="A99" i="5"/>
  <c r="BA70" i="5"/>
  <c r="AZ70" i="5"/>
  <c r="AT70" i="5"/>
  <c r="AS70" i="5"/>
  <c r="AM70" i="5"/>
  <c r="AL70" i="5"/>
  <c r="AF70" i="5"/>
  <c r="AE70" i="5"/>
  <c r="Y70" i="5"/>
  <c r="X70" i="5"/>
  <c r="R70" i="5"/>
  <c r="Q70" i="5"/>
  <c r="K70" i="5"/>
  <c r="J70" i="5"/>
  <c r="D70" i="5"/>
  <c r="C70" i="5"/>
  <c r="B70" i="5"/>
  <c r="A70" i="5"/>
  <c r="BA89" i="5"/>
  <c r="AZ89" i="5"/>
  <c r="AT89" i="5"/>
  <c r="AS89" i="5"/>
  <c r="AM89" i="5"/>
  <c r="AL89" i="5"/>
  <c r="AF89" i="5"/>
  <c r="AE89" i="5"/>
  <c r="Y89" i="5"/>
  <c r="X89" i="5"/>
  <c r="R89" i="5"/>
  <c r="Q89" i="5"/>
  <c r="K89" i="5"/>
  <c r="J89" i="5"/>
  <c r="D89" i="5"/>
  <c r="C89" i="5"/>
  <c r="B89" i="5"/>
  <c r="A89" i="5"/>
  <c r="BA3" i="5"/>
  <c r="AZ3" i="5"/>
  <c r="AT3" i="5"/>
  <c r="AS3" i="5"/>
  <c r="AM3" i="5"/>
  <c r="AL3" i="5"/>
  <c r="AF3" i="5"/>
  <c r="AE3" i="5"/>
  <c r="Y3" i="5"/>
  <c r="X3" i="5"/>
  <c r="R3" i="5"/>
  <c r="Q3" i="5"/>
  <c r="K3" i="5"/>
  <c r="J3" i="5"/>
  <c r="D3" i="5"/>
  <c r="C3" i="5"/>
  <c r="B3" i="5"/>
  <c r="D15" i="3" s="1"/>
  <c r="A3" i="5"/>
  <c r="BA37" i="5"/>
  <c r="AZ37" i="5"/>
  <c r="AT37" i="5"/>
  <c r="AS37" i="5"/>
  <c r="AM37" i="5"/>
  <c r="AL37" i="5"/>
  <c r="AF37" i="5"/>
  <c r="AE37" i="5"/>
  <c r="Y37" i="5"/>
  <c r="X37" i="5"/>
  <c r="R37" i="5"/>
  <c r="Q37" i="5"/>
  <c r="K37" i="5"/>
  <c r="J37" i="5"/>
  <c r="D37" i="5"/>
  <c r="C37" i="5"/>
  <c r="B37" i="5"/>
  <c r="A37" i="5"/>
  <c r="BA36" i="5"/>
  <c r="AZ36" i="5"/>
  <c r="AT36" i="5"/>
  <c r="AS36" i="5"/>
  <c r="AM36" i="5"/>
  <c r="AL36" i="5"/>
  <c r="AF36" i="5"/>
  <c r="AE36" i="5"/>
  <c r="Y36" i="5"/>
  <c r="X36" i="5"/>
  <c r="R36" i="5"/>
  <c r="Q36" i="5"/>
  <c r="K36" i="5"/>
  <c r="J36" i="5"/>
  <c r="D36" i="5"/>
  <c r="C36" i="5"/>
  <c r="B36" i="5"/>
  <c r="A36" i="5"/>
  <c r="BA69" i="5"/>
  <c r="AZ69" i="5"/>
  <c r="AT69" i="5"/>
  <c r="AS69" i="5"/>
  <c r="AM69" i="5"/>
  <c r="AL69" i="5"/>
  <c r="AF69" i="5"/>
  <c r="AE69" i="5"/>
  <c r="Y69" i="5"/>
  <c r="X69" i="5"/>
  <c r="R69" i="5"/>
  <c r="Q69" i="5"/>
  <c r="K69" i="5"/>
  <c r="J69" i="5"/>
  <c r="D69" i="5"/>
  <c r="C69" i="5"/>
  <c r="B69" i="5"/>
  <c r="A69" i="5"/>
  <c r="BA24" i="5"/>
  <c r="AZ24" i="5"/>
  <c r="AT24" i="5"/>
  <c r="AS24" i="5"/>
  <c r="AM24" i="5"/>
  <c r="AL24" i="5"/>
  <c r="AF24" i="5"/>
  <c r="AE24" i="5"/>
  <c r="Y24" i="5"/>
  <c r="X24" i="5"/>
  <c r="R24" i="5"/>
  <c r="Q24" i="5"/>
  <c r="K24" i="5"/>
  <c r="J24" i="5"/>
  <c r="D24" i="5"/>
  <c r="C24" i="5"/>
  <c r="B24" i="5"/>
  <c r="A24" i="5"/>
  <c r="BA68" i="5"/>
  <c r="AZ68" i="5"/>
  <c r="AT68" i="5"/>
  <c r="AS68" i="5"/>
  <c r="AM68" i="5"/>
  <c r="AL68" i="5"/>
  <c r="AF68" i="5"/>
  <c r="AE68" i="5"/>
  <c r="Y68" i="5"/>
  <c r="X68" i="5"/>
  <c r="R68" i="5"/>
  <c r="Q68" i="5"/>
  <c r="K68" i="5"/>
  <c r="J68" i="5"/>
  <c r="D68" i="5"/>
  <c r="C68" i="5"/>
  <c r="B68" i="5"/>
  <c r="A68" i="5"/>
  <c r="BA119" i="5"/>
  <c r="AZ119" i="5"/>
  <c r="AT119" i="5"/>
  <c r="AS119" i="5"/>
  <c r="AM119" i="5"/>
  <c r="AL119" i="5"/>
  <c r="AF119" i="5"/>
  <c r="AE119" i="5"/>
  <c r="Y119" i="5"/>
  <c r="X119" i="5"/>
  <c r="R119" i="5"/>
  <c r="Q119" i="5"/>
  <c r="K119" i="5"/>
  <c r="J119" i="5"/>
  <c r="D119" i="5"/>
  <c r="C119" i="5"/>
  <c r="B119" i="5"/>
  <c r="A119" i="5"/>
  <c r="BA25" i="5"/>
  <c r="AZ25" i="5"/>
  <c r="AT25" i="5"/>
  <c r="AS25" i="5"/>
  <c r="AM25" i="5"/>
  <c r="AL25" i="5"/>
  <c r="AF25" i="5"/>
  <c r="AE25" i="5"/>
  <c r="Y25" i="5"/>
  <c r="X25" i="5"/>
  <c r="R25" i="5"/>
  <c r="Q25" i="5"/>
  <c r="K25" i="5"/>
  <c r="J25" i="5"/>
  <c r="D25" i="5"/>
  <c r="C25" i="5"/>
  <c r="B25" i="5"/>
  <c r="A25" i="5"/>
  <c r="BA1" i="5"/>
  <c r="AT1" i="5"/>
  <c r="AM1" i="5"/>
  <c r="AF1" i="5"/>
  <c r="Y1" i="5"/>
  <c r="R1" i="5"/>
  <c r="K1" i="5"/>
  <c r="D1" i="5"/>
  <c r="C16" i="3" l="1"/>
  <c r="C15" i="3"/>
  <c r="D16" i="3"/>
  <c r="L36" i="5"/>
  <c r="N36" i="5" s="1"/>
  <c r="P36" i="5" s="1"/>
  <c r="L70" i="5"/>
  <c r="N70" i="5" s="1"/>
  <c r="P70" i="5" s="1"/>
  <c r="S99" i="5"/>
  <c r="U99" i="5" s="1"/>
  <c r="W99" i="5" s="1"/>
  <c r="AG99" i="5"/>
  <c r="AI99" i="5" s="1"/>
  <c r="AK99" i="5" s="1"/>
  <c r="AU99" i="5"/>
  <c r="AW99" i="5" s="1"/>
  <c r="AY99" i="5" s="1"/>
  <c r="E109" i="5"/>
  <c r="G109" i="5" s="1"/>
  <c r="L26" i="5"/>
  <c r="N26" i="5" s="1"/>
  <c r="P26" i="5" s="1"/>
  <c r="C10" i="3"/>
  <c r="C12" i="3"/>
  <c r="C14" i="3"/>
  <c r="L124" i="5"/>
  <c r="N124" i="5" s="1"/>
  <c r="P124" i="5" s="1"/>
  <c r="Z124" i="5"/>
  <c r="AA124" i="5" s="1"/>
  <c r="AN124" i="5"/>
  <c r="AO124" i="5" s="1"/>
  <c r="L134" i="5"/>
  <c r="N134" i="5" s="1"/>
  <c r="P134" i="5" s="1"/>
  <c r="BB134" i="5"/>
  <c r="BD134" i="5" s="1"/>
  <c r="BF134" i="5" s="1"/>
  <c r="D12" i="3"/>
  <c r="D14" i="3"/>
  <c r="C11" i="3"/>
  <c r="C13" i="3"/>
  <c r="D11" i="3"/>
  <c r="D13" i="3"/>
  <c r="E69" i="5"/>
  <c r="G69" i="5" s="1"/>
  <c r="E4" i="5"/>
  <c r="D10" i="3"/>
  <c r="E5" i="5"/>
  <c r="C8" i="3"/>
  <c r="C9" i="3"/>
  <c r="D9" i="3"/>
  <c r="S24" i="5"/>
  <c r="U24" i="5" s="1"/>
  <c r="W24" i="5" s="1"/>
  <c r="E6" i="5"/>
  <c r="G6" i="5" s="1"/>
  <c r="Z5" i="5"/>
  <c r="AB5" i="5" s="1"/>
  <c r="AD5" i="5" s="1"/>
  <c r="D5" i="3"/>
  <c r="D7" i="3"/>
  <c r="D6" i="3"/>
  <c r="D8" i="3"/>
  <c r="Z114" i="5"/>
  <c r="AB114" i="5" s="1"/>
  <c r="AD114" i="5" s="1"/>
  <c r="L48" i="5"/>
  <c r="N48" i="5" s="1"/>
  <c r="P48" i="5" s="1"/>
  <c r="C5" i="3"/>
  <c r="C7" i="3"/>
  <c r="L102" i="5"/>
  <c r="M102" i="5" s="1"/>
  <c r="AN102" i="5"/>
  <c r="AO102" i="5" s="1"/>
  <c r="AU96" i="5"/>
  <c r="AW96" i="5" s="1"/>
  <c r="AY96" i="5" s="1"/>
  <c r="Z65" i="5"/>
  <c r="AB65" i="5" s="1"/>
  <c r="AD65" i="5" s="1"/>
  <c r="BB65" i="5"/>
  <c r="BD65" i="5" s="1"/>
  <c r="BF65" i="5" s="1"/>
  <c r="AU116" i="5"/>
  <c r="AW116" i="5" s="1"/>
  <c r="AY116" i="5" s="1"/>
  <c r="E52" i="5"/>
  <c r="G52" i="5" s="1"/>
  <c r="I52" i="5" s="1"/>
  <c r="S52" i="5"/>
  <c r="U52" i="5" s="1"/>
  <c r="W52" i="5" s="1"/>
  <c r="E85" i="5"/>
  <c r="G85" i="5" s="1"/>
  <c r="L87" i="5"/>
  <c r="M87" i="5" s="1"/>
  <c r="Z87" i="5"/>
  <c r="AA87" i="5" s="1"/>
  <c r="AN67" i="5"/>
  <c r="AO67" i="5" s="1"/>
  <c r="BB67" i="5"/>
  <c r="BC67" i="5" s="1"/>
  <c r="L108" i="5"/>
  <c r="N108" i="5" s="1"/>
  <c r="P108" i="5" s="1"/>
  <c r="S124" i="5"/>
  <c r="U124" i="5" s="1"/>
  <c r="W124" i="5" s="1"/>
  <c r="AG124" i="5"/>
  <c r="AH124" i="5" s="1"/>
  <c r="AU124" i="5"/>
  <c r="AV124" i="5" s="1"/>
  <c r="E128" i="5"/>
  <c r="F128" i="5" s="1"/>
  <c r="AG24" i="5"/>
  <c r="AI24" i="5" s="1"/>
  <c r="AK24" i="5" s="1"/>
  <c r="AU95" i="5"/>
  <c r="AV95" i="5" s="1"/>
  <c r="AN81" i="5"/>
  <c r="AP81" i="5" s="1"/>
  <c r="AR81" i="5" s="1"/>
  <c r="BB37" i="5"/>
  <c r="BC37" i="5" s="1"/>
  <c r="AG28" i="5"/>
  <c r="AI28" i="5" s="1"/>
  <c r="AK28" i="5" s="1"/>
  <c r="Z48" i="5"/>
  <c r="AB48" i="5" s="1"/>
  <c r="AD48" i="5" s="1"/>
  <c r="L81" i="5"/>
  <c r="N81" i="5" s="1"/>
  <c r="P81" i="5" s="1"/>
  <c r="BB34" i="5"/>
  <c r="BC34" i="5" s="1"/>
  <c r="AN5" i="5"/>
  <c r="AP5" i="5" s="1"/>
  <c r="AR5" i="5" s="1"/>
  <c r="BB120" i="5"/>
  <c r="BD120" i="5" s="1"/>
  <c r="BF120" i="5" s="1"/>
  <c r="L112" i="5"/>
  <c r="N112" i="5" s="1"/>
  <c r="P112" i="5" s="1"/>
  <c r="BB6" i="5"/>
  <c r="BC6" i="5" s="1"/>
  <c r="S79" i="5"/>
  <c r="U79" i="5" s="1"/>
  <c r="W79" i="5" s="1"/>
  <c r="S76" i="5"/>
  <c r="U76" i="5" s="1"/>
  <c r="W76" i="5" s="1"/>
  <c r="AN121" i="5"/>
  <c r="AP121" i="5" s="1"/>
  <c r="AR121" i="5" s="1"/>
  <c r="S112" i="5"/>
  <c r="U112" i="5" s="1"/>
  <c r="W112" i="5" s="1"/>
  <c r="E51" i="5"/>
  <c r="F51" i="5" s="1"/>
  <c r="S51" i="5"/>
  <c r="T51" i="5" s="1"/>
  <c r="AU51" i="5"/>
  <c r="AV51" i="5" s="1"/>
  <c r="Z20" i="5"/>
  <c r="AB20" i="5" s="1"/>
  <c r="AD20" i="5" s="1"/>
  <c r="L59" i="5"/>
  <c r="M59" i="5" s="1"/>
  <c r="Z59" i="5"/>
  <c r="AB59" i="5" s="1"/>
  <c r="AD59" i="5" s="1"/>
  <c r="AU110" i="5"/>
  <c r="AW110" i="5" s="1"/>
  <c r="AY110" i="5" s="1"/>
  <c r="AG76" i="5"/>
  <c r="AI76" i="5" s="1"/>
  <c r="AK76" i="5" s="1"/>
  <c r="E45" i="5"/>
  <c r="F45" i="5" s="1"/>
  <c r="L17" i="5"/>
  <c r="M17" i="5" s="1"/>
  <c r="Z17" i="5"/>
  <c r="AB17" i="5" s="1"/>
  <c r="AD17" i="5" s="1"/>
  <c r="AG93" i="5"/>
  <c r="AI93" i="5" s="1"/>
  <c r="AK93" i="5" s="1"/>
  <c r="L86" i="5"/>
  <c r="M86" i="5" s="1"/>
  <c r="BB86" i="5"/>
  <c r="BC86" i="5" s="1"/>
  <c r="Z26" i="5"/>
  <c r="AB26" i="5" s="1"/>
  <c r="AD26" i="5" s="1"/>
  <c r="E92" i="5"/>
  <c r="G92" i="5" s="1"/>
  <c r="AG92" i="5"/>
  <c r="AI92" i="5" s="1"/>
  <c r="AK92" i="5" s="1"/>
  <c r="Z121" i="5"/>
  <c r="AB121" i="5" s="1"/>
  <c r="AD121" i="5" s="1"/>
  <c r="S101" i="5"/>
  <c r="U101" i="5" s="1"/>
  <c r="W101" i="5" s="1"/>
  <c r="BB61" i="5"/>
  <c r="BD61" i="5" s="1"/>
  <c r="BF61" i="5" s="1"/>
  <c r="AG112" i="5"/>
  <c r="L29" i="5"/>
  <c r="N29" i="5" s="1"/>
  <c r="P29" i="5" s="1"/>
  <c r="AU90" i="5"/>
  <c r="AW90" i="5" s="1"/>
  <c r="AY90" i="5" s="1"/>
  <c r="L72" i="5"/>
  <c r="M72" i="5" s="1"/>
  <c r="AN110" i="5"/>
  <c r="E27" i="5"/>
  <c r="G27" i="5" s="1"/>
  <c r="S27" i="5"/>
  <c r="U27" i="5" s="1"/>
  <c r="W27" i="5" s="1"/>
  <c r="L8" i="5"/>
  <c r="N8" i="5" s="1"/>
  <c r="P8" i="5" s="1"/>
  <c r="L75" i="5"/>
  <c r="AU42" i="5"/>
  <c r="AV42" i="5" s="1"/>
  <c r="AG16" i="5"/>
  <c r="AI16" i="5" s="1"/>
  <c r="AK16" i="5" s="1"/>
  <c r="E61" i="5"/>
  <c r="G61" i="5" s="1"/>
  <c r="AU61" i="5"/>
  <c r="AV61" i="5" s="1"/>
  <c r="BB102" i="5"/>
  <c r="BD102" i="5" s="1"/>
  <c r="BF102" i="5" s="1"/>
  <c r="L5" i="5"/>
  <c r="N5" i="5" s="1"/>
  <c r="P5" i="5" s="1"/>
  <c r="AN114" i="5"/>
  <c r="AP114" i="5" s="1"/>
  <c r="AR114" i="5" s="1"/>
  <c r="BB114" i="5"/>
  <c r="AU31" i="5"/>
  <c r="AW31" i="5" s="1"/>
  <c r="AY31" i="5" s="1"/>
  <c r="AN4" i="5"/>
  <c r="AP4" i="5" s="1"/>
  <c r="AR4" i="5" s="1"/>
  <c r="S80" i="5"/>
  <c r="T80" i="5" s="1"/>
  <c r="Z32" i="5"/>
  <c r="AB32" i="5" s="1"/>
  <c r="AD32" i="5" s="1"/>
  <c r="BB51" i="5"/>
  <c r="BD51" i="5" s="1"/>
  <c r="BF51" i="5" s="1"/>
  <c r="S83" i="5"/>
  <c r="U83" i="5" s="1"/>
  <c r="W83" i="5" s="1"/>
  <c r="L11" i="5"/>
  <c r="M11" i="5" s="1"/>
  <c r="BB11" i="5"/>
  <c r="BC11" i="5" s="1"/>
  <c r="E53" i="5"/>
  <c r="F53" i="5" s="1"/>
  <c r="L66" i="5"/>
  <c r="N66" i="5" s="1"/>
  <c r="P66" i="5" s="1"/>
  <c r="L34" i="5"/>
  <c r="M34" i="5" s="1"/>
  <c r="Z108" i="5"/>
  <c r="L119" i="5"/>
  <c r="N119" i="5" s="1"/>
  <c r="P119" i="5" s="1"/>
  <c r="E71" i="5"/>
  <c r="G71" i="5" s="1"/>
  <c r="I71" i="5" s="1"/>
  <c r="Z122" i="5"/>
  <c r="AA122" i="5" s="1"/>
  <c r="L128" i="5"/>
  <c r="M128" i="5" s="1"/>
  <c r="Z128" i="5"/>
  <c r="AA128" i="5" s="1"/>
  <c r="BB128" i="5"/>
  <c r="BC128" i="5" s="1"/>
  <c r="E131" i="5"/>
  <c r="G131" i="5" s="1"/>
  <c r="I131" i="5" s="1"/>
  <c r="AG131" i="5"/>
  <c r="AI131" i="5" s="1"/>
  <c r="AK131" i="5" s="1"/>
  <c r="Z39" i="5"/>
  <c r="AB39" i="5" s="1"/>
  <c r="AD39" i="5" s="1"/>
  <c r="AU14" i="5"/>
  <c r="AV14" i="5" s="1"/>
  <c r="AU72" i="5"/>
  <c r="AV72" i="5" s="1"/>
  <c r="L16" i="5"/>
  <c r="M16" i="5" s="1"/>
  <c r="Z16" i="5"/>
  <c r="AA16" i="5" s="1"/>
  <c r="S47" i="5"/>
  <c r="U47" i="5" s="1"/>
  <c r="W47" i="5" s="1"/>
  <c r="AN63" i="5"/>
  <c r="AO63" i="5" s="1"/>
  <c r="S95" i="5"/>
  <c r="E116" i="5"/>
  <c r="G116" i="5" s="1"/>
  <c r="I116" i="5" s="1"/>
  <c r="S116" i="5"/>
  <c r="U116" i="5" s="1"/>
  <c r="W116" i="5" s="1"/>
  <c r="AU11" i="5"/>
  <c r="AW11" i="5" s="1"/>
  <c r="AY11" i="5" s="1"/>
  <c r="AU52" i="5"/>
  <c r="S85" i="5"/>
  <c r="T85" i="5" s="1"/>
  <c r="AG85" i="5"/>
  <c r="AH85" i="5" s="1"/>
  <c r="AU85" i="5"/>
  <c r="AV85" i="5" s="1"/>
  <c r="E34" i="5"/>
  <c r="F34" i="5" s="1"/>
  <c r="Z7" i="5"/>
  <c r="AB7" i="5" s="1"/>
  <c r="AD7" i="5" s="1"/>
  <c r="AG3" i="5"/>
  <c r="AI3" i="5" s="1"/>
  <c r="AK3" i="5" s="1"/>
  <c r="AG58" i="5"/>
  <c r="AI58" i="5" s="1"/>
  <c r="AK58" i="5" s="1"/>
  <c r="S73" i="5"/>
  <c r="AU73" i="5"/>
  <c r="AV73" i="5" s="1"/>
  <c r="Z15" i="5"/>
  <c r="AB15" i="5" s="1"/>
  <c r="AD15" i="5" s="1"/>
  <c r="BB15" i="5"/>
  <c r="BC15" i="5" s="1"/>
  <c r="AU91" i="5"/>
  <c r="AV91" i="5" s="1"/>
  <c r="E100" i="5"/>
  <c r="G100" i="5" s="1"/>
  <c r="S100" i="5"/>
  <c r="U100" i="5" s="1"/>
  <c r="W100" i="5" s="1"/>
  <c r="AG50" i="5"/>
  <c r="AI50" i="5" s="1"/>
  <c r="AK50" i="5" s="1"/>
  <c r="L62" i="5"/>
  <c r="N62" i="5" s="1"/>
  <c r="P62" i="5" s="1"/>
  <c r="Z62" i="5"/>
  <c r="AB62" i="5" s="1"/>
  <c r="AD62" i="5" s="1"/>
  <c r="AN62" i="5"/>
  <c r="AP62" i="5" s="1"/>
  <c r="AR62" i="5" s="1"/>
  <c r="E113" i="5"/>
  <c r="F113" i="5" s="1"/>
  <c r="AG113" i="5"/>
  <c r="AI113" i="5" s="1"/>
  <c r="AK113" i="5" s="1"/>
  <c r="AG114" i="5"/>
  <c r="AI114" i="5" s="1"/>
  <c r="AK114" i="5" s="1"/>
  <c r="Z80" i="5"/>
  <c r="AB80" i="5" s="1"/>
  <c r="AD80" i="5" s="1"/>
  <c r="Z51" i="5"/>
  <c r="AB51" i="5" s="1"/>
  <c r="AD51" i="5" s="1"/>
  <c r="AN12" i="5"/>
  <c r="AP12" i="5" s="1"/>
  <c r="AR12" i="5" s="1"/>
  <c r="E86" i="5"/>
  <c r="G86" i="5" s="1"/>
  <c r="S86" i="5"/>
  <c r="T86" i="5" s="1"/>
  <c r="L25" i="5"/>
  <c r="N25" i="5" s="1"/>
  <c r="P25" i="5" s="1"/>
  <c r="Z25" i="5"/>
  <c r="AB25" i="5" s="1"/>
  <c r="AD25" i="5" s="1"/>
  <c r="AU7" i="5"/>
  <c r="AW7" i="5" s="1"/>
  <c r="AY7" i="5" s="1"/>
  <c r="S71" i="5"/>
  <c r="U71" i="5" s="1"/>
  <c r="W71" i="5" s="1"/>
  <c r="AG71" i="5"/>
  <c r="AI71" i="5" s="1"/>
  <c r="AK71" i="5" s="1"/>
  <c r="AU71" i="5"/>
  <c r="AW71" i="5" s="1"/>
  <c r="AY71" i="5" s="1"/>
  <c r="AG39" i="5"/>
  <c r="AH39" i="5" s="1"/>
  <c r="Z14" i="5"/>
  <c r="AB14" i="5" s="1"/>
  <c r="AD14" i="5" s="1"/>
  <c r="AN14" i="5"/>
  <c r="AP14" i="5" s="1"/>
  <c r="AR14" i="5" s="1"/>
  <c r="BB14" i="5"/>
  <c r="BC14" i="5" s="1"/>
  <c r="BB59" i="5"/>
  <c r="BC59" i="5" s="1"/>
  <c r="AG110" i="5"/>
  <c r="AI110" i="5" s="1"/>
  <c r="AK110" i="5" s="1"/>
  <c r="AN73" i="5"/>
  <c r="AP73" i="5" s="1"/>
  <c r="AR73" i="5" s="1"/>
  <c r="BB73" i="5"/>
  <c r="BD73" i="5" s="1"/>
  <c r="BF73" i="5" s="1"/>
  <c r="AN41" i="5"/>
  <c r="AO41" i="5" s="1"/>
  <c r="L91" i="5"/>
  <c r="N91" i="5" s="1"/>
  <c r="P91" i="5" s="1"/>
  <c r="Z91" i="5"/>
  <c r="AB91" i="5" s="1"/>
  <c r="AD91" i="5" s="1"/>
  <c r="S74" i="5"/>
  <c r="AU74" i="5"/>
  <c r="AV74" i="5" s="1"/>
  <c r="Z111" i="5"/>
  <c r="AA111" i="5" s="1"/>
  <c r="E9" i="5"/>
  <c r="G9" i="5" s="1"/>
  <c r="S9" i="5"/>
  <c r="U9" i="5" s="1"/>
  <c r="W9" i="5" s="1"/>
  <c r="AG9" i="5"/>
  <c r="AI9" i="5" s="1"/>
  <c r="AK9" i="5" s="1"/>
  <c r="L92" i="5"/>
  <c r="N92" i="5" s="1"/>
  <c r="P92" i="5" s="1"/>
  <c r="Z92" i="5"/>
  <c r="AB92" i="5" s="1"/>
  <c r="AD92" i="5" s="1"/>
  <c r="BB92" i="5"/>
  <c r="BD92" i="5" s="1"/>
  <c r="BF92" i="5" s="1"/>
  <c r="E44" i="5"/>
  <c r="F44" i="5" s="1"/>
  <c r="BB45" i="5"/>
  <c r="BD45" i="5" s="1"/>
  <c r="BF45" i="5" s="1"/>
  <c r="L78" i="5"/>
  <c r="N78" i="5" s="1"/>
  <c r="P78" i="5" s="1"/>
  <c r="Z78" i="5"/>
  <c r="AA78" i="5" s="1"/>
  <c r="S46" i="5"/>
  <c r="T46" i="5" s="1"/>
  <c r="AU46" i="5"/>
  <c r="AW46" i="5" s="1"/>
  <c r="AY46" i="5" s="1"/>
  <c r="AG48" i="5"/>
  <c r="AH48" i="5" s="1"/>
  <c r="L49" i="5"/>
  <c r="N49" i="5" s="1"/>
  <c r="P49" i="5" s="1"/>
  <c r="AN49" i="5"/>
  <c r="AO49" i="5" s="1"/>
  <c r="E19" i="5"/>
  <c r="G19" i="5" s="1"/>
  <c r="S19" i="5"/>
  <c r="T19" i="5" s="1"/>
  <c r="L104" i="5"/>
  <c r="N104" i="5" s="1"/>
  <c r="P104" i="5" s="1"/>
  <c r="Z104" i="5"/>
  <c r="AA104" i="5" s="1"/>
  <c r="AN104" i="5"/>
  <c r="AO104" i="5" s="1"/>
  <c r="BB104" i="5"/>
  <c r="BD104" i="5" s="1"/>
  <c r="BF104" i="5" s="1"/>
  <c r="E64" i="5"/>
  <c r="G64" i="5" s="1"/>
  <c r="I64" i="5" s="1"/>
  <c r="S64" i="5"/>
  <c r="U64" i="5" s="1"/>
  <c r="W64" i="5" s="1"/>
  <c r="AG20" i="5"/>
  <c r="AI20" i="5" s="1"/>
  <c r="AK20" i="5" s="1"/>
  <c r="L96" i="5"/>
  <c r="M96" i="5" s="1"/>
  <c r="E83" i="5"/>
  <c r="G83" i="5" s="1"/>
  <c r="AG83" i="5"/>
  <c r="AI83" i="5" s="1"/>
  <c r="AK83" i="5" s="1"/>
  <c r="L105" i="5"/>
  <c r="N105" i="5" s="1"/>
  <c r="P105" i="5" s="1"/>
  <c r="AN105" i="5"/>
  <c r="AP105" i="5" s="1"/>
  <c r="AR105" i="5" s="1"/>
  <c r="AN11" i="5"/>
  <c r="AP11" i="5" s="1"/>
  <c r="AR11" i="5" s="1"/>
  <c r="S53" i="5"/>
  <c r="T53" i="5" s="1"/>
  <c r="AU53" i="5"/>
  <c r="AW53" i="5" s="1"/>
  <c r="AY53" i="5" s="1"/>
  <c r="BB85" i="5"/>
  <c r="BD85" i="5" s="1"/>
  <c r="BF85" i="5" s="1"/>
  <c r="Z66" i="5"/>
  <c r="AA66" i="5" s="1"/>
  <c r="S117" i="5"/>
  <c r="U117" i="5" s="1"/>
  <c r="W117" i="5" s="1"/>
  <c r="AG117" i="5"/>
  <c r="AI117" i="5" s="1"/>
  <c r="AK117" i="5" s="1"/>
  <c r="L55" i="5"/>
  <c r="M55" i="5" s="1"/>
  <c r="Z55" i="5"/>
  <c r="AA55" i="5" s="1"/>
  <c r="AN55" i="5"/>
  <c r="AO55" i="5" s="1"/>
  <c r="BB55" i="5"/>
  <c r="BC55" i="5" s="1"/>
  <c r="AG35" i="5"/>
  <c r="AH35" i="5" s="1"/>
  <c r="AN108" i="5"/>
  <c r="AO108" i="5" s="1"/>
  <c r="E122" i="5"/>
  <c r="G122" i="5" s="1"/>
  <c r="I122" i="5" s="1"/>
  <c r="AU128" i="5"/>
  <c r="AV128" i="5" s="1"/>
  <c r="L129" i="5"/>
  <c r="M129" i="5" s="1"/>
  <c r="Z129" i="5"/>
  <c r="AA129" i="5" s="1"/>
  <c r="S132" i="5"/>
  <c r="U132" i="5" s="1"/>
  <c r="W132" i="5" s="1"/>
  <c r="AN133" i="5"/>
  <c r="AP133" i="5" s="1"/>
  <c r="AR133" i="5" s="1"/>
  <c r="L135" i="5"/>
  <c r="N135" i="5" s="1"/>
  <c r="P135" i="5" s="1"/>
  <c r="Z135" i="5"/>
  <c r="AN135" i="5"/>
  <c r="AP135" i="5" s="1"/>
  <c r="AR135" i="5" s="1"/>
  <c r="BM119" i="5"/>
  <c r="BB119" i="5"/>
  <c r="BD119" i="5" s="1"/>
  <c r="BF119" i="5" s="1"/>
  <c r="AU3" i="5"/>
  <c r="AU58" i="5"/>
  <c r="AW58" i="5" s="1"/>
  <c r="AY58" i="5" s="1"/>
  <c r="S90" i="5"/>
  <c r="U90" i="5" s="1"/>
  <c r="W90" i="5" s="1"/>
  <c r="S69" i="5"/>
  <c r="U69" i="5" s="1"/>
  <c r="W69" i="5" s="1"/>
  <c r="Z36" i="5"/>
  <c r="AB36" i="5" s="1"/>
  <c r="AD36" i="5" s="1"/>
  <c r="AN36" i="5"/>
  <c r="AP36" i="5" s="1"/>
  <c r="AR36" i="5" s="1"/>
  <c r="BB36" i="5"/>
  <c r="BD36" i="5" s="1"/>
  <c r="BF36" i="5" s="1"/>
  <c r="E38" i="5"/>
  <c r="G38" i="5" s="1"/>
  <c r="S38" i="5"/>
  <c r="AG38" i="5"/>
  <c r="AI38" i="5" s="1"/>
  <c r="AK38" i="5" s="1"/>
  <c r="AN39" i="5"/>
  <c r="AP39" i="5" s="1"/>
  <c r="AR39" i="5" s="1"/>
  <c r="BB39" i="5"/>
  <c r="BD39" i="5" s="1"/>
  <c r="BF39" i="5" s="1"/>
  <c r="Z119" i="5"/>
  <c r="AB119" i="5" s="1"/>
  <c r="AD119" i="5" s="1"/>
  <c r="AN119" i="5"/>
  <c r="AP119" i="5" s="1"/>
  <c r="AR119" i="5" s="1"/>
  <c r="E3" i="5"/>
  <c r="G3" i="5" s="1"/>
  <c r="I3" i="5" s="1"/>
  <c r="BH89" i="5"/>
  <c r="E90" i="5"/>
  <c r="G90" i="5" s="1"/>
  <c r="I90" i="5" s="1"/>
  <c r="Z69" i="5"/>
  <c r="AB69" i="5" s="1"/>
  <c r="AD69" i="5" s="1"/>
  <c r="AN37" i="5"/>
  <c r="AO37" i="5" s="1"/>
  <c r="Z70" i="5"/>
  <c r="S109" i="5"/>
  <c r="U109" i="5" s="1"/>
  <c r="W109" i="5" s="1"/>
  <c r="AG109" i="5"/>
  <c r="AI109" i="5" s="1"/>
  <c r="AK109" i="5" s="1"/>
  <c r="AN7" i="5"/>
  <c r="AP7" i="5" s="1"/>
  <c r="AR7" i="5" s="1"/>
  <c r="AN38" i="5"/>
  <c r="AO38" i="5" s="1"/>
  <c r="L14" i="5"/>
  <c r="M14" i="5" s="1"/>
  <c r="L90" i="5"/>
  <c r="N90" i="5" s="1"/>
  <c r="E72" i="5"/>
  <c r="F72" i="5" s="1"/>
  <c r="L120" i="5"/>
  <c r="N120" i="5" s="1"/>
  <c r="P120" i="5" s="1"/>
  <c r="Z120" i="5"/>
  <c r="AB120" i="5" s="1"/>
  <c r="AD120" i="5" s="1"/>
  <c r="S59" i="5"/>
  <c r="T59" i="5" s="1"/>
  <c r="E110" i="5"/>
  <c r="G110" i="5" s="1"/>
  <c r="I110" i="5" s="1"/>
  <c r="Z27" i="5"/>
  <c r="AA27" i="5" s="1"/>
  <c r="BM8" i="5"/>
  <c r="Z8" i="5"/>
  <c r="AB8" i="5" s="1"/>
  <c r="AD8" i="5" s="1"/>
  <c r="AN8" i="5"/>
  <c r="AP8" i="5" s="1"/>
  <c r="AR8" i="5" s="1"/>
  <c r="L40" i="5"/>
  <c r="N40" i="5" s="1"/>
  <c r="P40" i="5" s="1"/>
  <c r="Z40" i="5"/>
  <c r="AA40" i="5" s="1"/>
  <c r="E41" i="5"/>
  <c r="G41" i="5" s="1"/>
  <c r="S41" i="5"/>
  <c r="U41" i="5" s="1"/>
  <c r="W41" i="5" s="1"/>
  <c r="AG41" i="5"/>
  <c r="AI41" i="5" s="1"/>
  <c r="AK41" i="5" s="1"/>
  <c r="AG100" i="5"/>
  <c r="AI100" i="5" s="1"/>
  <c r="AK100" i="5" s="1"/>
  <c r="AU100" i="5"/>
  <c r="AV100" i="5" s="1"/>
  <c r="AG75" i="5"/>
  <c r="AI75" i="5" s="1"/>
  <c r="AK75" i="5" s="1"/>
  <c r="AN42" i="5"/>
  <c r="AO42" i="5" s="1"/>
  <c r="S43" i="5"/>
  <c r="U43" i="5" s="1"/>
  <c r="W43" i="5" s="1"/>
  <c r="AU43" i="5"/>
  <c r="AW43" i="5" s="1"/>
  <c r="AY43" i="5" s="1"/>
  <c r="L121" i="5"/>
  <c r="N121" i="5" s="1"/>
  <c r="P121" i="5" s="1"/>
  <c r="Z101" i="5"/>
  <c r="AB101" i="5" s="1"/>
  <c r="AD101" i="5" s="1"/>
  <c r="S61" i="5"/>
  <c r="T61" i="5" s="1"/>
  <c r="AG61" i="5"/>
  <c r="AH61" i="5" s="1"/>
  <c r="AN29" i="5"/>
  <c r="AP29" i="5" s="1"/>
  <c r="AR29" i="5" s="1"/>
  <c r="AN45" i="5"/>
  <c r="AP45" i="5" s="1"/>
  <c r="AR45" i="5" s="1"/>
  <c r="BB5" i="5"/>
  <c r="BD5" i="5" s="1"/>
  <c r="BF5" i="5" s="1"/>
  <c r="Z47" i="5"/>
  <c r="AA47" i="5" s="1"/>
  <c r="AN103" i="5"/>
  <c r="E31" i="5"/>
  <c r="F31" i="5" s="1"/>
  <c r="S31" i="5"/>
  <c r="U31" i="5" s="1"/>
  <c r="W31" i="5" s="1"/>
  <c r="BB80" i="5"/>
  <c r="BD80" i="5" s="1"/>
  <c r="BF80" i="5" s="1"/>
  <c r="S104" i="5"/>
  <c r="T104" i="5" s="1"/>
  <c r="AG104" i="5"/>
  <c r="AH104" i="5" s="1"/>
  <c r="AU104" i="5"/>
  <c r="AV104" i="5" s="1"/>
  <c r="AG64" i="5"/>
  <c r="AI64" i="5" s="1"/>
  <c r="AK64" i="5" s="1"/>
  <c r="E32" i="5"/>
  <c r="F32" i="5" s="1"/>
  <c r="L10" i="5"/>
  <c r="M10" i="5" s="1"/>
  <c r="Z10" i="5"/>
  <c r="AB10" i="5" s="1"/>
  <c r="AD10" i="5" s="1"/>
  <c r="AN10" i="5"/>
  <c r="AP10" i="5" s="1"/>
  <c r="AR10" i="5" s="1"/>
  <c r="S96" i="5"/>
  <c r="U96" i="5" s="1"/>
  <c r="W96" i="5" s="1"/>
  <c r="AN65" i="5"/>
  <c r="AO65" i="5" s="1"/>
  <c r="Z116" i="5"/>
  <c r="AA116" i="5" s="1"/>
  <c r="AN116" i="5"/>
  <c r="AP116" i="5" s="1"/>
  <c r="AR116" i="5" s="1"/>
  <c r="E33" i="5"/>
  <c r="G33" i="5" s="1"/>
  <c r="AG33" i="5"/>
  <c r="AI33" i="5" s="1"/>
  <c r="AK33" i="5" s="1"/>
  <c r="Z84" i="5"/>
  <c r="AB84" i="5" s="1"/>
  <c r="AD84" i="5" s="1"/>
  <c r="AN84" i="5"/>
  <c r="AP84" i="5" s="1"/>
  <c r="AR84" i="5" s="1"/>
  <c r="L97" i="5"/>
  <c r="N97" i="5" s="1"/>
  <c r="P97" i="5" s="1"/>
  <c r="AN97" i="5"/>
  <c r="AO97" i="5" s="1"/>
  <c r="AU106" i="5"/>
  <c r="AW106" i="5" s="1"/>
  <c r="AY106" i="5" s="1"/>
  <c r="S34" i="5"/>
  <c r="T34" i="5" s="1"/>
  <c r="AG34" i="5"/>
  <c r="BH54" i="5"/>
  <c r="S87" i="5"/>
  <c r="U87" i="5" s="1"/>
  <c r="W87" i="5" s="1"/>
  <c r="AU35" i="5"/>
  <c r="AW35" i="5" s="1"/>
  <c r="AY35" i="5" s="1"/>
  <c r="Z56" i="5"/>
  <c r="AB56" i="5" s="1"/>
  <c r="AD56" i="5" s="1"/>
  <c r="AN56" i="5"/>
  <c r="AP56" i="5" s="1"/>
  <c r="AR56" i="5" s="1"/>
  <c r="E57" i="5"/>
  <c r="G57" i="5" s="1"/>
  <c r="S57" i="5"/>
  <c r="U57" i="5" s="1"/>
  <c r="W57" i="5" s="1"/>
  <c r="AU57" i="5"/>
  <c r="AW57" i="5" s="1"/>
  <c r="AY57" i="5" s="1"/>
  <c r="L122" i="5"/>
  <c r="N122" i="5" s="1"/>
  <c r="P122" i="5" s="1"/>
  <c r="AG122" i="5"/>
  <c r="AH122" i="5" s="1"/>
  <c r="BB129" i="5"/>
  <c r="BD129" i="5" s="1"/>
  <c r="BF129" i="5" s="1"/>
  <c r="S130" i="5"/>
  <c r="U130" i="5" s="1"/>
  <c r="W130" i="5" s="1"/>
  <c r="AG130" i="5"/>
  <c r="AI130" i="5" s="1"/>
  <c r="AK130" i="5" s="1"/>
  <c r="AU130" i="5"/>
  <c r="AW130" i="5" s="1"/>
  <c r="AY130" i="5" s="1"/>
  <c r="E132" i="5"/>
  <c r="G132" i="5" s="1"/>
  <c r="L133" i="5"/>
  <c r="N133" i="5" s="1"/>
  <c r="P133" i="5" s="1"/>
  <c r="S120" i="5"/>
  <c r="U120" i="5" s="1"/>
  <c r="W120" i="5" s="1"/>
  <c r="AU27" i="5"/>
  <c r="AV27" i="5" s="1"/>
  <c r="S8" i="5"/>
  <c r="U8" i="5" s="1"/>
  <c r="W8" i="5" s="1"/>
  <c r="E40" i="5"/>
  <c r="G40" i="5" s="1"/>
  <c r="I40" i="5" s="1"/>
  <c r="S40" i="5"/>
  <c r="T40" i="5" s="1"/>
  <c r="AG40" i="5"/>
  <c r="AI40" i="5" s="1"/>
  <c r="AK40" i="5" s="1"/>
  <c r="AU40" i="5"/>
  <c r="AW40" i="5" s="1"/>
  <c r="AY40" i="5" s="1"/>
  <c r="E28" i="5"/>
  <c r="G28" i="5" s="1"/>
  <c r="I28" i="5" s="1"/>
  <c r="Z9" i="5"/>
  <c r="AA9" i="5" s="1"/>
  <c r="AN75" i="5"/>
  <c r="AP75" i="5" s="1"/>
  <c r="AR75" i="5" s="1"/>
  <c r="BB75" i="5"/>
  <c r="BD75" i="5" s="1"/>
  <c r="BF75" i="5" s="1"/>
  <c r="Z43" i="5"/>
  <c r="AU121" i="5"/>
  <c r="AV121" i="5" s="1"/>
  <c r="AG101" i="5"/>
  <c r="AI101" i="5" s="1"/>
  <c r="AK101" i="5" s="1"/>
  <c r="L6" i="5"/>
  <c r="N6" i="5" s="1"/>
  <c r="P6" i="5" s="1"/>
  <c r="Z6" i="5"/>
  <c r="AA6" i="5" s="1"/>
  <c r="AU76" i="5"/>
  <c r="AV76" i="5" s="1"/>
  <c r="AN17" i="5"/>
  <c r="AP17" i="5" s="1"/>
  <c r="AR17" i="5" s="1"/>
  <c r="E93" i="5"/>
  <c r="G93" i="5" s="1"/>
  <c r="I93" i="5" s="1"/>
  <c r="S62" i="5"/>
  <c r="AG62" i="5"/>
  <c r="AI62" i="5" s="1"/>
  <c r="AK62" i="5" s="1"/>
  <c r="AU62" i="5"/>
  <c r="AW62" i="5" s="1"/>
  <c r="AY62" i="5" s="1"/>
  <c r="BM30" i="5"/>
  <c r="AU30" i="5"/>
  <c r="AV30" i="5" s="1"/>
  <c r="AU47" i="5"/>
  <c r="AW47" i="5" s="1"/>
  <c r="AY47" i="5" s="1"/>
  <c r="S94" i="5"/>
  <c r="U94" i="5" s="1"/>
  <c r="W94" i="5" s="1"/>
  <c r="Z79" i="5"/>
  <c r="AA79" i="5" s="1"/>
  <c r="L80" i="5"/>
  <c r="N80" i="5" s="1"/>
  <c r="P80" i="5" s="1"/>
  <c r="BB48" i="5"/>
  <c r="BD48" i="5" s="1"/>
  <c r="BF48" i="5" s="1"/>
  <c r="AG49" i="5"/>
  <c r="AI49" i="5" s="1"/>
  <c r="AK49" i="5" s="1"/>
  <c r="AG19" i="5"/>
  <c r="AI19" i="5" s="1"/>
  <c r="AK19" i="5" s="1"/>
  <c r="AU19" i="5"/>
  <c r="AW19" i="5" s="1"/>
  <c r="AY19" i="5" s="1"/>
  <c r="AN32" i="5"/>
  <c r="AP32" i="5" s="1"/>
  <c r="AR32" i="5" s="1"/>
  <c r="BB32" i="5"/>
  <c r="BD32" i="5" s="1"/>
  <c r="BF32" i="5" s="1"/>
  <c r="AG10" i="5"/>
  <c r="AI10" i="5" s="1"/>
  <c r="AK10" i="5" s="1"/>
  <c r="Z82" i="5"/>
  <c r="AA82" i="5" s="1"/>
  <c r="E50" i="5"/>
  <c r="F50" i="5" s="1"/>
  <c r="L20" i="5"/>
  <c r="M20" i="5" s="1"/>
  <c r="AN96" i="5"/>
  <c r="AO96" i="5" s="1"/>
  <c r="BB105" i="5"/>
  <c r="Z33" i="5"/>
  <c r="AB33" i="5" s="1"/>
  <c r="AD33" i="5" s="1"/>
  <c r="BB33" i="5"/>
  <c r="BD33" i="5" s="1"/>
  <c r="BF33" i="5" s="1"/>
  <c r="E11" i="5"/>
  <c r="F11" i="5" s="1"/>
  <c r="L21" i="5"/>
  <c r="N21" i="5" s="1"/>
  <c r="P21" i="5" s="1"/>
  <c r="AN21" i="5"/>
  <c r="AP21" i="5" s="1"/>
  <c r="AR21" i="5" s="1"/>
  <c r="Z85" i="5"/>
  <c r="AB85" i="5" s="1"/>
  <c r="AD85" i="5" s="1"/>
  <c r="Z34" i="5"/>
  <c r="AA34" i="5" s="1"/>
  <c r="AG98" i="5"/>
  <c r="AH98" i="5" s="1"/>
  <c r="AU98" i="5"/>
  <c r="AV98" i="5" s="1"/>
  <c r="S13" i="5"/>
  <c r="T13" i="5" s="1"/>
  <c r="AG13" i="5"/>
  <c r="AH13" i="5" s="1"/>
  <c r="AU13" i="5"/>
  <c r="AW13" i="5" s="1"/>
  <c r="AY13" i="5" s="1"/>
  <c r="E56" i="5"/>
  <c r="G56" i="5" s="1"/>
  <c r="I56" i="5" s="1"/>
  <c r="S56" i="5"/>
  <c r="U56" i="5" s="1"/>
  <c r="W56" i="5" s="1"/>
  <c r="AG56" i="5"/>
  <c r="AH56" i="5" s="1"/>
  <c r="AU56" i="5"/>
  <c r="AW56" i="5" s="1"/>
  <c r="AY56" i="5" s="1"/>
  <c r="S23" i="5"/>
  <c r="T23" i="5" s="1"/>
  <c r="AG23" i="5"/>
  <c r="AI23" i="5" s="1"/>
  <c r="AK23" i="5" s="1"/>
  <c r="S122" i="5"/>
  <c r="T122" i="5" s="1"/>
  <c r="BB122" i="5"/>
  <c r="S131" i="5"/>
  <c r="T131" i="5" s="1"/>
  <c r="E24" i="5"/>
  <c r="G24" i="5" s="1"/>
  <c r="I24" i="5" s="1"/>
  <c r="BM69" i="5"/>
  <c r="AG69" i="5"/>
  <c r="AI69" i="5" s="1"/>
  <c r="AK69" i="5" s="1"/>
  <c r="AU69" i="5"/>
  <c r="AW69" i="5" s="1"/>
  <c r="AY69" i="5" s="1"/>
  <c r="L37" i="5"/>
  <c r="N37" i="5" s="1"/>
  <c r="P37" i="5" s="1"/>
  <c r="Z37" i="5"/>
  <c r="AB37" i="5" s="1"/>
  <c r="AD37" i="5" s="1"/>
  <c r="S3" i="5"/>
  <c r="U3" i="5" s="1"/>
  <c r="W3" i="5" s="1"/>
  <c r="L99" i="5"/>
  <c r="N99" i="5" s="1"/>
  <c r="P99" i="5" s="1"/>
  <c r="Z99" i="5"/>
  <c r="AN99" i="5"/>
  <c r="AO99" i="5" s="1"/>
  <c r="E58" i="5"/>
  <c r="G58" i="5" s="1"/>
  <c r="I58" i="5" s="1"/>
  <c r="S58" i="5"/>
  <c r="U58" i="5" s="1"/>
  <c r="W58" i="5" s="1"/>
  <c r="AN26" i="5"/>
  <c r="BB26" i="5"/>
  <c r="BD26" i="5" s="1"/>
  <c r="BF26" i="5" s="1"/>
  <c r="AG7" i="5"/>
  <c r="L39" i="5"/>
  <c r="N39" i="5" s="1"/>
  <c r="P39" i="5" s="1"/>
  <c r="AG90" i="5"/>
  <c r="S72" i="5"/>
  <c r="U72" i="5" s="1"/>
  <c r="W72" i="5" s="1"/>
  <c r="AG72" i="5"/>
  <c r="AI72" i="5" s="1"/>
  <c r="AK72" i="5" s="1"/>
  <c r="AU120" i="5"/>
  <c r="AW120" i="5" s="1"/>
  <c r="AY120" i="5" s="1"/>
  <c r="AG59" i="5"/>
  <c r="AN59" i="5"/>
  <c r="AP59" i="5" s="1"/>
  <c r="AR59" i="5" s="1"/>
  <c r="L110" i="5"/>
  <c r="M110" i="5" s="1"/>
  <c r="BB8" i="5"/>
  <c r="BD8" i="5" s="1"/>
  <c r="BF8" i="5" s="1"/>
  <c r="S15" i="5"/>
  <c r="AU15" i="5"/>
  <c r="AW15" i="5" s="1"/>
  <c r="AY15" i="5" s="1"/>
  <c r="AN91" i="5"/>
  <c r="AP91" i="5" s="1"/>
  <c r="AR91" i="5" s="1"/>
  <c r="E74" i="5"/>
  <c r="F74" i="5" s="1"/>
  <c r="AG74" i="5"/>
  <c r="AI74" i="5" s="1"/>
  <c r="AK74" i="5" s="1"/>
  <c r="Z100" i="5"/>
  <c r="AA100" i="5" s="1"/>
  <c r="AN100" i="5"/>
  <c r="AO100" i="5" s="1"/>
  <c r="L60" i="5"/>
  <c r="N60" i="5" s="1"/>
  <c r="P60" i="5" s="1"/>
  <c r="Z60" i="5"/>
  <c r="AB60" i="5" s="1"/>
  <c r="AD60" i="5" s="1"/>
  <c r="AN60" i="5"/>
  <c r="AP60" i="5" s="1"/>
  <c r="AR60" i="5" s="1"/>
  <c r="AG111" i="5"/>
  <c r="AI111" i="5" s="1"/>
  <c r="AK111" i="5" s="1"/>
  <c r="S28" i="5"/>
  <c r="U28" i="5" s="1"/>
  <c r="W28" i="5" s="1"/>
  <c r="E43" i="5"/>
  <c r="E16" i="5"/>
  <c r="F16" i="5" s="1"/>
  <c r="S16" i="5"/>
  <c r="U16" i="5" s="1"/>
  <c r="W16" i="5" s="1"/>
  <c r="AU101" i="5"/>
  <c r="AW101" i="5" s="1"/>
  <c r="AY101" i="5" s="1"/>
  <c r="L61" i="5"/>
  <c r="M61" i="5" s="1"/>
  <c r="Z112" i="5"/>
  <c r="AA112" i="5" s="1"/>
  <c r="S6" i="5"/>
  <c r="T6" i="5" s="1"/>
  <c r="AN76" i="5"/>
  <c r="AG45" i="5"/>
  <c r="AH45" i="5" s="1"/>
  <c r="BB79" i="5"/>
  <c r="BC79" i="5" s="1"/>
  <c r="E103" i="5"/>
  <c r="F103" i="5" s="1"/>
  <c r="AG103" i="5"/>
  <c r="AI103" i="5" s="1"/>
  <c r="AK103" i="5" s="1"/>
  <c r="AN31" i="5"/>
  <c r="AO31" i="5" s="1"/>
  <c r="E48" i="5"/>
  <c r="F48" i="5" s="1"/>
  <c r="AN48" i="5"/>
  <c r="AP48" i="5" s="1"/>
  <c r="AR48" i="5" s="1"/>
  <c r="BM36" i="5"/>
  <c r="E18" i="5"/>
  <c r="G18" i="5" s="1"/>
  <c r="G4" i="5"/>
  <c r="BH109" i="5"/>
  <c r="BH25" i="5"/>
  <c r="L24" i="5"/>
  <c r="M24" i="5" s="1"/>
  <c r="AU24" i="5"/>
  <c r="AW24" i="5" s="1"/>
  <c r="AY24" i="5" s="1"/>
  <c r="L69" i="5"/>
  <c r="AU37" i="5"/>
  <c r="AN70" i="5"/>
  <c r="AP70" i="5" s="1"/>
  <c r="AR70" i="5" s="1"/>
  <c r="BB70" i="5"/>
  <c r="BD70" i="5" s="1"/>
  <c r="BF70" i="5" s="1"/>
  <c r="L58" i="5"/>
  <c r="M58" i="5" s="1"/>
  <c r="Z58" i="5"/>
  <c r="L109" i="5"/>
  <c r="N109" i="5" s="1"/>
  <c r="P109" i="5" s="1"/>
  <c r="AU109" i="5"/>
  <c r="AW109" i="5" s="1"/>
  <c r="AY109" i="5" s="1"/>
  <c r="L7" i="5"/>
  <c r="N7" i="5" s="1"/>
  <c r="P7" i="5" s="1"/>
  <c r="BB7" i="5"/>
  <c r="BD7" i="5" s="1"/>
  <c r="BF7" i="5" s="1"/>
  <c r="E39" i="5"/>
  <c r="G39" i="5" s="1"/>
  <c r="S14" i="5"/>
  <c r="T14" i="5" s="1"/>
  <c r="AN90" i="5"/>
  <c r="AP90" i="5" s="1"/>
  <c r="AR90" i="5" s="1"/>
  <c r="AN120" i="5"/>
  <c r="S110" i="5"/>
  <c r="T110" i="5" s="1"/>
  <c r="AG27" i="5"/>
  <c r="AI27" i="5" s="1"/>
  <c r="AK27" i="5" s="1"/>
  <c r="L73" i="5"/>
  <c r="N73" i="5" s="1"/>
  <c r="P73" i="5" s="1"/>
  <c r="L41" i="5"/>
  <c r="M41" i="5" s="1"/>
  <c r="L15" i="5"/>
  <c r="N15" i="5" s="1"/>
  <c r="P15" i="5" s="1"/>
  <c r="AN15" i="5"/>
  <c r="AP15" i="5" s="1"/>
  <c r="AR15" i="5" s="1"/>
  <c r="L74" i="5"/>
  <c r="M74" i="5" s="1"/>
  <c r="AN74" i="5"/>
  <c r="E60" i="5"/>
  <c r="F60" i="5" s="1"/>
  <c r="S60" i="5"/>
  <c r="U60" i="5" s="1"/>
  <c r="W60" i="5" s="1"/>
  <c r="AU60" i="5"/>
  <c r="AW60" i="5" s="1"/>
  <c r="AY60" i="5" s="1"/>
  <c r="AN9" i="5"/>
  <c r="AN16" i="5"/>
  <c r="AO16" i="5" s="1"/>
  <c r="BG92" i="5"/>
  <c r="S121" i="5"/>
  <c r="T121" i="5" s="1"/>
  <c r="AG121" i="5"/>
  <c r="AH121" i="5" s="1"/>
  <c r="AN112" i="5"/>
  <c r="AO112" i="5" s="1"/>
  <c r="AG6" i="5"/>
  <c r="AI6" i="5" s="1"/>
  <c r="AK6" i="5" s="1"/>
  <c r="S44" i="5"/>
  <c r="U44" i="5" s="1"/>
  <c r="W44" i="5" s="1"/>
  <c r="AG44" i="5"/>
  <c r="AI44" i="5" s="1"/>
  <c r="AK44" i="5" s="1"/>
  <c r="L45" i="5"/>
  <c r="N45" i="5" s="1"/>
  <c r="P45" i="5" s="1"/>
  <c r="AG17" i="5"/>
  <c r="AH17" i="5" s="1"/>
  <c r="AG30" i="5"/>
  <c r="AI30" i="5" s="1"/>
  <c r="AK30" i="5" s="1"/>
  <c r="L77" i="5"/>
  <c r="N77" i="5" s="1"/>
  <c r="P77" i="5" s="1"/>
  <c r="Z77" i="5"/>
  <c r="AB77" i="5" s="1"/>
  <c r="AD77" i="5" s="1"/>
  <c r="AN77" i="5"/>
  <c r="AP77" i="5" s="1"/>
  <c r="AR77" i="5" s="1"/>
  <c r="AG78" i="5"/>
  <c r="AI78" i="5" s="1"/>
  <c r="AK78" i="5" s="1"/>
  <c r="AU78" i="5"/>
  <c r="Z18" i="5"/>
  <c r="AB18" i="5" s="1"/>
  <c r="AD18" i="5" s="1"/>
  <c r="BG103" i="5"/>
  <c r="S63" i="5"/>
  <c r="T63" i="5" s="1"/>
  <c r="AG95" i="5"/>
  <c r="AH95" i="5" s="1"/>
  <c r="AU64" i="5"/>
  <c r="AW64" i="5" s="1"/>
  <c r="AY64" i="5" s="1"/>
  <c r="AN115" i="5"/>
  <c r="AP115" i="5" s="1"/>
  <c r="AR115" i="5" s="1"/>
  <c r="L82" i="5"/>
  <c r="M82" i="5" s="1"/>
  <c r="AN82" i="5"/>
  <c r="AO82" i="5" s="1"/>
  <c r="Z83" i="5"/>
  <c r="AA83" i="5" s="1"/>
  <c r="AN83" i="5"/>
  <c r="Z105" i="5"/>
  <c r="AA105" i="5" s="1"/>
  <c r="AG11" i="5"/>
  <c r="AH11" i="5" s="1"/>
  <c r="E84" i="5"/>
  <c r="G84" i="5" s="1"/>
  <c r="I84" i="5" s="1"/>
  <c r="BB84" i="5"/>
  <c r="BC84" i="5" s="1"/>
  <c r="AG52" i="5"/>
  <c r="AH52" i="5" s="1"/>
  <c r="AG53" i="5"/>
  <c r="AI53" i="5" s="1"/>
  <c r="AK53" i="5" s="1"/>
  <c r="Z97" i="5"/>
  <c r="AA97" i="5" s="1"/>
  <c r="BH85" i="5"/>
  <c r="AG66" i="5"/>
  <c r="AH66" i="5" s="1"/>
  <c r="AU66" i="5"/>
  <c r="AV66" i="5" s="1"/>
  <c r="L117" i="5"/>
  <c r="N117" i="5" s="1"/>
  <c r="P117" i="5" s="1"/>
  <c r="Z117" i="5"/>
  <c r="AB117" i="5" s="1"/>
  <c r="AD117" i="5" s="1"/>
  <c r="AN34" i="5"/>
  <c r="AO34" i="5" s="1"/>
  <c r="L12" i="5"/>
  <c r="N12" i="5" s="1"/>
  <c r="P12" i="5" s="1"/>
  <c r="Z86" i="5"/>
  <c r="AA86" i="5" s="1"/>
  <c r="AN86" i="5"/>
  <c r="AO86" i="5" s="1"/>
  <c r="S55" i="5"/>
  <c r="T55" i="5" s="1"/>
  <c r="E98" i="5"/>
  <c r="F98" i="5" s="1"/>
  <c r="S98" i="5"/>
  <c r="T98" i="5" s="1"/>
  <c r="BB87" i="5"/>
  <c r="BC87" i="5" s="1"/>
  <c r="S107" i="5"/>
  <c r="U107" i="5" s="1"/>
  <c r="W107" i="5" s="1"/>
  <c r="AG107" i="5"/>
  <c r="AI107" i="5" s="1"/>
  <c r="AK107" i="5" s="1"/>
  <c r="AU107" i="5"/>
  <c r="AV107" i="5" s="1"/>
  <c r="Z67" i="5"/>
  <c r="AB67" i="5" s="1"/>
  <c r="AD67" i="5" s="1"/>
  <c r="AN35" i="5"/>
  <c r="AO35" i="5" s="1"/>
  <c r="Z88" i="5"/>
  <c r="AA88" i="5" s="1"/>
  <c r="BB88" i="5"/>
  <c r="BC88" i="5" s="1"/>
  <c r="L57" i="5"/>
  <c r="M57" i="5" s="1"/>
  <c r="L23" i="5"/>
  <c r="N23" i="5" s="1"/>
  <c r="P23" i="5" s="1"/>
  <c r="Z23" i="5"/>
  <c r="AB23" i="5" s="1"/>
  <c r="AD23" i="5" s="1"/>
  <c r="AN23" i="5"/>
  <c r="AO23" i="5" s="1"/>
  <c r="BB23" i="5"/>
  <c r="L126" i="5"/>
  <c r="M126" i="5" s="1"/>
  <c r="Z126" i="5"/>
  <c r="AB126" i="5" s="1"/>
  <c r="AD126" i="5" s="1"/>
  <c r="AN126" i="5"/>
  <c r="AO126" i="5" s="1"/>
  <c r="AN128" i="5"/>
  <c r="AO128" i="5" s="1"/>
  <c r="AN129" i="5"/>
  <c r="AO129" i="5" s="1"/>
  <c r="AN132" i="5"/>
  <c r="AO132" i="5" s="1"/>
  <c r="BB133" i="5"/>
  <c r="BC133" i="5" s="1"/>
  <c r="AG134" i="5"/>
  <c r="L51" i="5"/>
  <c r="M51" i="5" s="1"/>
  <c r="AN51" i="5"/>
  <c r="AO51" i="5" s="1"/>
  <c r="BB20" i="5"/>
  <c r="BD20" i="5" s="1"/>
  <c r="BF20" i="5" s="1"/>
  <c r="AU83" i="5"/>
  <c r="AW83" i="5" s="1"/>
  <c r="AY83" i="5" s="1"/>
  <c r="Z11" i="5"/>
  <c r="AB11" i="5" s="1"/>
  <c r="AD11" i="5" s="1"/>
  <c r="L84" i="5"/>
  <c r="N84" i="5" s="1"/>
  <c r="P84" i="5" s="1"/>
  <c r="BH53" i="5"/>
  <c r="Z21" i="5"/>
  <c r="AN66" i="5"/>
  <c r="AP66" i="5" s="1"/>
  <c r="AR66" i="5" s="1"/>
  <c r="BM126" i="5"/>
  <c r="L19" i="5"/>
  <c r="M19" i="5" s="1"/>
  <c r="AU87" i="5"/>
  <c r="AW87" i="5" s="1"/>
  <c r="AY87" i="5" s="1"/>
  <c r="S67" i="5"/>
  <c r="T67" i="5" s="1"/>
  <c r="AN118" i="5"/>
  <c r="AO118" i="5" s="1"/>
  <c r="S35" i="5"/>
  <c r="T35" i="5" s="1"/>
  <c r="E88" i="5"/>
  <c r="F88" i="5" s="1"/>
  <c r="S88" i="5"/>
  <c r="T88" i="5" s="1"/>
  <c r="AG88" i="5"/>
  <c r="AH88" i="5" s="1"/>
  <c r="AU88" i="5"/>
  <c r="AV88" i="5" s="1"/>
  <c r="AG57" i="5"/>
  <c r="AH57" i="5" s="1"/>
  <c r="AU23" i="5"/>
  <c r="AW23" i="5" s="1"/>
  <c r="AY23" i="5" s="1"/>
  <c r="BB108" i="5"/>
  <c r="BD108" i="5" s="1"/>
  <c r="BF108" i="5" s="1"/>
  <c r="L123" i="5"/>
  <c r="N123" i="5" s="1"/>
  <c r="P123" i="5" s="1"/>
  <c r="Z123" i="5"/>
  <c r="AB123" i="5" s="1"/>
  <c r="AD123" i="5" s="1"/>
  <c r="AN123" i="5"/>
  <c r="AP123" i="5" s="1"/>
  <c r="AR123" i="5" s="1"/>
  <c r="BB123" i="5"/>
  <c r="BD123" i="5" s="1"/>
  <c r="BF123" i="5" s="1"/>
  <c r="L125" i="5"/>
  <c r="N125" i="5" s="1"/>
  <c r="P125" i="5" s="1"/>
  <c r="Z125" i="5"/>
  <c r="AN125" i="5"/>
  <c r="AP125" i="5" s="1"/>
  <c r="AR125" i="5" s="1"/>
  <c r="BB125" i="5"/>
  <c r="BD125" i="5" s="1"/>
  <c r="BF125" i="5" s="1"/>
  <c r="E126" i="5"/>
  <c r="F126" i="5" s="1"/>
  <c r="S126" i="5"/>
  <c r="AG126" i="5"/>
  <c r="AH126" i="5" s="1"/>
  <c r="AU126" i="5"/>
  <c r="AV126" i="5" s="1"/>
  <c r="BM128" i="5"/>
  <c r="L130" i="5"/>
  <c r="M130" i="5" s="1"/>
  <c r="Z130" i="5"/>
  <c r="AB130" i="5" s="1"/>
  <c r="AD130" i="5" s="1"/>
  <c r="AN130" i="5"/>
  <c r="AP130" i="5" s="1"/>
  <c r="AR130" i="5" s="1"/>
  <c r="BB130" i="5"/>
  <c r="BC130" i="5" s="1"/>
  <c r="L44" i="5"/>
  <c r="M44" i="5" s="1"/>
  <c r="Z44" i="5"/>
  <c r="AB44" i="5" s="1"/>
  <c r="AD44" i="5" s="1"/>
  <c r="BB17" i="5"/>
  <c r="BD17" i="5" s="1"/>
  <c r="BF17" i="5" s="1"/>
  <c r="S77" i="5"/>
  <c r="U77" i="5" s="1"/>
  <c r="W77" i="5" s="1"/>
  <c r="AG77" i="5"/>
  <c r="Z102" i="5"/>
  <c r="AA102" i="5" s="1"/>
  <c r="L30" i="5"/>
  <c r="N30" i="5" s="1"/>
  <c r="P30" i="5" s="1"/>
  <c r="AN30" i="5"/>
  <c r="S78" i="5"/>
  <c r="U78" i="5" s="1"/>
  <c r="W78" i="5" s="1"/>
  <c r="AN78" i="5"/>
  <c r="AP78" i="5" s="1"/>
  <c r="AR78" i="5" s="1"/>
  <c r="S18" i="5"/>
  <c r="T18" i="5" s="1"/>
  <c r="AG18" i="5"/>
  <c r="AH18" i="5" s="1"/>
  <c r="L94" i="5"/>
  <c r="N94" i="5" s="1"/>
  <c r="P94" i="5" s="1"/>
  <c r="E79" i="5"/>
  <c r="F79" i="5" s="1"/>
  <c r="AU103" i="5"/>
  <c r="AW103" i="5" s="1"/>
  <c r="AY103" i="5" s="1"/>
  <c r="Z63" i="5"/>
  <c r="AB63" i="5" s="1"/>
  <c r="AD63" i="5" s="1"/>
  <c r="BG114" i="5"/>
  <c r="S4" i="5"/>
  <c r="U4" i="5" s="1"/>
  <c r="W4" i="5" s="1"/>
  <c r="AG4" i="5"/>
  <c r="AI4" i="5" s="1"/>
  <c r="AK4" i="5" s="1"/>
  <c r="BM19" i="5"/>
  <c r="AN19" i="5"/>
  <c r="AO19" i="5" s="1"/>
  <c r="BM95" i="5"/>
  <c r="BH95" i="5"/>
  <c r="S115" i="5"/>
  <c r="U115" i="5" s="1"/>
  <c r="W115" i="5" s="1"/>
  <c r="L32" i="5"/>
  <c r="N32" i="5" s="1"/>
  <c r="P32" i="5" s="1"/>
  <c r="BB10" i="5"/>
  <c r="BD10" i="5" s="1"/>
  <c r="BF10" i="5" s="1"/>
  <c r="S82" i="5"/>
  <c r="U82" i="5" s="1"/>
  <c r="W82" i="5" s="1"/>
  <c r="AU82" i="5"/>
  <c r="AW82" i="5" s="1"/>
  <c r="AY82" i="5" s="1"/>
  <c r="L50" i="5"/>
  <c r="N50" i="5" s="1"/>
  <c r="P50" i="5" s="1"/>
  <c r="E20" i="5"/>
  <c r="G20" i="5" s="1"/>
  <c r="I20" i="5" s="1"/>
  <c r="L65" i="5"/>
  <c r="N65" i="5" s="1"/>
  <c r="P65" i="5" s="1"/>
  <c r="L116" i="5"/>
  <c r="N116" i="5" s="1"/>
  <c r="AG116" i="5"/>
  <c r="AI116" i="5" s="1"/>
  <c r="AK116" i="5" s="1"/>
  <c r="S33" i="5"/>
  <c r="U33" i="5" s="1"/>
  <c r="W33" i="5" s="1"/>
  <c r="S11" i="5"/>
  <c r="Z52" i="5"/>
  <c r="AA52" i="5" s="1"/>
  <c r="BB21" i="5"/>
  <c r="BD21" i="5" s="1"/>
  <c r="BF21" i="5" s="1"/>
  <c r="AU97" i="5"/>
  <c r="AW97" i="5" s="1"/>
  <c r="AY97" i="5" s="1"/>
  <c r="BM85" i="5"/>
  <c r="L106" i="5"/>
  <c r="M106" i="5" s="1"/>
  <c r="BM34" i="5"/>
  <c r="AU34" i="5"/>
  <c r="AV34" i="5" s="1"/>
  <c r="AG86" i="5"/>
  <c r="AH86" i="5" s="1"/>
  <c r="L98" i="5"/>
  <c r="Z98" i="5"/>
  <c r="AA98" i="5" s="1"/>
  <c r="AU131" i="5"/>
  <c r="AV131" i="5" s="1"/>
  <c r="AG132" i="5"/>
  <c r="AH132" i="5" s="1"/>
  <c r="Z133" i="5"/>
  <c r="AB133" i="5" s="1"/>
  <c r="AD133" i="5" s="1"/>
  <c r="Z134" i="5"/>
  <c r="AB134" i="5" s="1"/>
  <c r="AD134" i="5" s="1"/>
  <c r="AN134" i="5"/>
  <c r="AP134" i="5" s="1"/>
  <c r="AR134" i="5" s="1"/>
  <c r="E135" i="5"/>
  <c r="F135" i="5" s="1"/>
  <c r="S135" i="5"/>
  <c r="U135" i="5" s="1"/>
  <c r="W135" i="5" s="1"/>
  <c r="AG135" i="5"/>
  <c r="AI135" i="5" s="1"/>
  <c r="AK135" i="5" s="1"/>
  <c r="AU135" i="5"/>
  <c r="AW135" i="5" s="1"/>
  <c r="AY135" i="5" s="1"/>
  <c r="AA33" i="5"/>
  <c r="BG39" i="5"/>
  <c r="BH41" i="5"/>
  <c r="BG74" i="5"/>
  <c r="BG45" i="5"/>
  <c r="BH69" i="5"/>
  <c r="BG110" i="5"/>
  <c r="L68" i="5"/>
  <c r="M68" i="5" s="1"/>
  <c r="Z68" i="5"/>
  <c r="AB68" i="5" s="1"/>
  <c r="AD68" i="5" s="1"/>
  <c r="Z24" i="5"/>
  <c r="AU89" i="5"/>
  <c r="AW89" i="5" s="1"/>
  <c r="AY89" i="5" s="1"/>
  <c r="AN58" i="5"/>
  <c r="AO58" i="5" s="1"/>
  <c r="S39" i="5"/>
  <c r="U39" i="5" s="1"/>
  <c r="W39" i="5" s="1"/>
  <c r="AU39" i="5"/>
  <c r="AV39" i="5" s="1"/>
  <c r="BG90" i="5"/>
  <c r="Z110" i="5"/>
  <c r="AA110" i="5" s="1"/>
  <c r="E8" i="5"/>
  <c r="F8" i="5" s="1"/>
  <c r="AG8" i="5"/>
  <c r="AU41" i="5"/>
  <c r="AW41" i="5" s="1"/>
  <c r="AY41" i="5" s="1"/>
  <c r="BH121" i="5"/>
  <c r="BB121" i="5"/>
  <c r="BD121" i="5" s="1"/>
  <c r="BF121" i="5" s="1"/>
  <c r="E101" i="5"/>
  <c r="BH44" i="5"/>
  <c r="BM44" i="5"/>
  <c r="Z45" i="5"/>
  <c r="AU93" i="5"/>
  <c r="BB78" i="5"/>
  <c r="BD78" i="5" s="1"/>
  <c r="BF78" i="5" s="1"/>
  <c r="BM94" i="5"/>
  <c r="AN94" i="5"/>
  <c r="AO94" i="5" s="1"/>
  <c r="BM109" i="5"/>
  <c r="BH38" i="5"/>
  <c r="BH91" i="5"/>
  <c r="BH16" i="5"/>
  <c r="AU16" i="5"/>
  <c r="AV16" i="5" s="1"/>
  <c r="AN68" i="5"/>
  <c r="AO68" i="5" s="1"/>
  <c r="BM89" i="5"/>
  <c r="S89" i="5"/>
  <c r="U89" i="5" s="1"/>
  <c r="W89" i="5" s="1"/>
  <c r="AG89" i="5"/>
  <c r="AH89" i="5" s="1"/>
  <c r="BM71" i="5"/>
  <c r="AU38" i="5"/>
  <c r="AW38" i="5" s="1"/>
  <c r="AY38" i="5" s="1"/>
  <c r="BG8" i="5"/>
  <c r="BB91" i="5"/>
  <c r="BC91" i="5" s="1"/>
  <c r="L111" i="5"/>
  <c r="M111" i="5" s="1"/>
  <c r="AG43" i="5"/>
  <c r="BM25" i="5"/>
  <c r="S25" i="5"/>
  <c r="T25" i="5" s="1"/>
  <c r="AG25" i="5"/>
  <c r="AI25" i="5" s="1"/>
  <c r="AK25" i="5" s="1"/>
  <c r="AU25" i="5"/>
  <c r="AW25" i="5" s="1"/>
  <c r="AY25" i="5" s="1"/>
  <c r="S68" i="5"/>
  <c r="U68" i="5" s="1"/>
  <c r="W68" i="5" s="1"/>
  <c r="AG68" i="5"/>
  <c r="AI68" i="5" s="1"/>
  <c r="AK68" i="5" s="1"/>
  <c r="AU68" i="5"/>
  <c r="AW68" i="5" s="1"/>
  <c r="AY68" i="5" s="1"/>
  <c r="AN24" i="5"/>
  <c r="AO24" i="5" s="1"/>
  <c r="AG37" i="5"/>
  <c r="BM3" i="5"/>
  <c r="L89" i="5"/>
  <c r="N89" i="5" s="1"/>
  <c r="P89" i="5" s="1"/>
  <c r="Z89" i="5"/>
  <c r="AB89" i="5" s="1"/>
  <c r="AD89" i="5" s="1"/>
  <c r="AN89" i="5"/>
  <c r="AP89" i="5" s="1"/>
  <c r="AR89" i="5" s="1"/>
  <c r="BG70" i="5"/>
  <c r="AN109" i="5"/>
  <c r="BG26" i="5"/>
  <c r="S7" i="5"/>
  <c r="L38" i="5"/>
  <c r="M38" i="5" s="1"/>
  <c r="AG14" i="5"/>
  <c r="Z90" i="5"/>
  <c r="AA90" i="5" s="1"/>
  <c r="Z72" i="5"/>
  <c r="AA72" i="5" s="1"/>
  <c r="E120" i="5"/>
  <c r="F120" i="5" s="1"/>
  <c r="AG120" i="5"/>
  <c r="AH120" i="5" s="1"/>
  <c r="BH59" i="5"/>
  <c r="AN27" i="5"/>
  <c r="BH27" i="5"/>
  <c r="AU8" i="5"/>
  <c r="AW8" i="5" s="1"/>
  <c r="AY8" i="5" s="1"/>
  <c r="Z73" i="5"/>
  <c r="AB73" i="5" s="1"/>
  <c r="AD73" i="5" s="1"/>
  <c r="AN40" i="5"/>
  <c r="AP40" i="5" s="1"/>
  <c r="AR40" i="5" s="1"/>
  <c r="BG15" i="5"/>
  <c r="AG60" i="5"/>
  <c r="AH60" i="5" s="1"/>
  <c r="BB60" i="5"/>
  <c r="S111" i="5"/>
  <c r="T111" i="5" s="1"/>
  <c r="AN111" i="5"/>
  <c r="Z28" i="5"/>
  <c r="AB28" i="5" s="1"/>
  <c r="AD28" i="5" s="1"/>
  <c r="AU28" i="5"/>
  <c r="E75" i="5"/>
  <c r="G75" i="5" s="1"/>
  <c r="Z75" i="5"/>
  <c r="L42" i="5"/>
  <c r="N42" i="5" s="1"/>
  <c r="P42" i="5" s="1"/>
  <c r="Z42" i="5"/>
  <c r="AN92" i="5"/>
  <c r="E112" i="5"/>
  <c r="E76" i="5"/>
  <c r="Z76" i="5"/>
  <c r="AB76" i="5" s="1"/>
  <c r="AD76" i="5" s="1"/>
  <c r="AU44" i="5"/>
  <c r="AV44" i="5" s="1"/>
  <c r="BG102" i="5"/>
  <c r="BM113" i="5"/>
  <c r="E30" i="5"/>
  <c r="G30" i="5" s="1"/>
  <c r="BB63" i="5"/>
  <c r="BD63" i="5" s="1"/>
  <c r="BF63" i="5" s="1"/>
  <c r="BH63" i="5"/>
  <c r="AN25" i="5"/>
  <c r="AP25" i="5" s="1"/>
  <c r="AR25" i="5" s="1"/>
  <c r="BH119" i="5"/>
  <c r="BG119" i="5"/>
  <c r="AN69" i="5"/>
  <c r="BG36" i="5"/>
  <c r="S37" i="5"/>
  <c r="BM70" i="5"/>
  <c r="Z109" i="5"/>
  <c r="BM26" i="5"/>
  <c r="Z38" i="5"/>
  <c r="BH14" i="5"/>
  <c r="BM90" i="5"/>
  <c r="AN72" i="5"/>
  <c r="BH72" i="5"/>
  <c r="BG120" i="5"/>
  <c r="AU59" i="5"/>
  <c r="AV59" i="5" s="1"/>
  <c r="L27" i="5"/>
  <c r="AG73" i="5"/>
  <c r="AH73" i="5" s="1"/>
  <c r="BH73" i="5"/>
  <c r="S91" i="5"/>
  <c r="L100" i="5"/>
  <c r="M100" i="5" s="1"/>
  <c r="BG28" i="5"/>
  <c r="AG42" i="5"/>
  <c r="BH42" i="5"/>
  <c r="BB42" i="5"/>
  <c r="BD42" i="5" s="1"/>
  <c r="BF42" i="5" s="1"/>
  <c r="AU17" i="5"/>
  <c r="S93" i="5"/>
  <c r="Z113" i="5"/>
  <c r="S30" i="5"/>
  <c r="T30" i="5" s="1"/>
  <c r="BH111" i="5"/>
  <c r="BM28" i="5"/>
  <c r="BH9" i="5"/>
  <c r="BG75" i="5"/>
  <c r="L43" i="5"/>
  <c r="N43" i="5" s="1"/>
  <c r="P43" i="5" s="1"/>
  <c r="AN43" i="5"/>
  <c r="AP43" i="5" s="1"/>
  <c r="AR43" i="5" s="1"/>
  <c r="S92" i="5"/>
  <c r="T92" i="5" s="1"/>
  <c r="AU92" i="5"/>
  <c r="AW92" i="5" s="1"/>
  <c r="AY92" i="5" s="1"/>
  <c r="L101" i="5"/>
  <c r="N101" i="5" s="1"/>
  <c r="P101" i="5" s="1"/>
  <c r="AN101" i="5"/>
  <c r="AO101" i="5" s="1"/>
  <c r="Z29" i="5"/>
  <c r="AB29" i="5" s="1"/>
  <c r="AD29" i="5" s="1"/>
  <c r="AU29" i="5"/>
  <c r="L76" i="5"/>
  <c r="S45" i="5"/>
  <c r="AU45" i="5"/>
  <c r="AU102" i="5"/>
  <c r="AV102" i="5" s="1"/>
  <c r="AU113" i="5"/>
  <c r="AW113" i="5" s="1"/>
  <c r="AY113" i="5" s="1"/>
  <c r="BG5" i="5"/>
  <c r="AG46" i="5"/>
  <c r="L18" i="5"/>
  <c r="M18" i="5" s="1"/>
  <c r="AN18" i="5"/>
  <c r="AP18" i="5" s="1"/>
  <c r="AR18" i="5" s="1"/>
  <c r="BG40" i="5"/>
  <c r="Z41" i="5"/>
  <c r="E15" i="5"/>
  <c r="G15" i="5" s="1"/>
  <c r="AG15" i="5"/>
  <c r="AI15" i="5" s="1"/>
  <c r="AK15" i="5" s="1"/>
  <c r="AG91" i="5"/>
  <c r="AH91" i="5" s="1"/>
  <c r="Z74" i="5"/>
  <c r="AB74" i="5" s="1"/>
  <c r="AD74" i="5" s="1"/>
  <c r="BH100" i="5"/>
  <c r="BG60" i="5"/>
  <c r="AU111" i="5"/>
  <c r="AV111" i="5" s="1"/>
  <c r="BB111" i="5"/>
  <c r="BD111" i="5" s="1"/>
  <c r="BF111" i="5" s="1"/>
  <c r="L28" i="5"/>
  <c r="N28" i="5" s="1"/>
  <c r="AN28" i="5"/>
  <c r="AP28" i="5" s="1"/>
  <c r="AR28" i="5" s="1"/>
  <c r="L9" i="5"/>
  <c r="AU9" i="5"/>
  <c r="AW9" i="5" s="1"/>
  <c r="AY9" i="5" s="1"/>
  <c r="S75" i="5"/>
  <c r="T75" i="5" s="1"/>
  <c r="AU75" i="5"/>
  <c r="AW75" i="5" s="1"/>
  <c r="AY75" i="5" s="1"/>
  <c r="S42" i="5"/>
  <c r="T42" i="5" s="1"/>
  <c r="BG43" i="5"/>
  <c r="BG101" i="5"/>
  <c r="Z61" i="5"/>
  <c r="S29" i="5"/>
  <c r="BG29" i="5"/>
  <c r="AN6" i="5"/>
  <c r="AO6" i="5" s="1"/>
  <c r="AN44" i="5"/>
  <c r="S102" i="5"/>
  <c r="T102" i="5" s="1"/>
  <c r="BH102" i="5"/>
  <c r="S113" i="5"/>
  <c r="U113" i="5" s="1"/>
  <c r="W113" i="5" s="1"/>
  <c r="E46" i="5"/>
  <c r="AU94" i="5"/>
  <c r="AG79" i="5"/>
  <c r="AI79" i="5" s="1"/>
  <c r="AK79" i="5" s="1"/>
  <c r="BG80" i="5"/>
  <c r="S17" i="5"/>
  <c r="E102" i="5"/>
  <c r="G102" i="5" s="1"/>
  <c r="AG102" i="5"/>
  <c r="AH102" i="5" s="1"/>
  <c r="L113" i="5"/>
  <c r="AN113" i="5"/>
  <c r="Z30" i="5"/>
  <c r="BH30" i="5"/>
  <c r="S5" i="5"/>
  <c r="AG5" i="5"/>
  <c r="AU5" i="5"/>
  <c r="L103" i="5"/>
  <c r="L63" i="5"/>
  <c r="M63" i="5" s="1"/>
  <c r="AG63" i="5"/>
  <c r="AI63" i="5" s="1"/>
  <c r="AK63" i="5" s="1"/>
  <c r="E114" i="5"/>
  <c r="L114" i="5"/>
  <c r="M114" i="5" s="1"/>
  <c r="AG31" i="5"/>
  <c r="AH31" i="5" s="1"/>
  <c r="L4" i="5"/>
  <c r="M4" i="5" s="1"/>
  <c r="BM80" i="5"/>
  <c r="AN80" i="5"/>
  <c r="AP80" i="5" s="1"/>
  <c r="AR80" i="5" s="1"/>
  <c r="AU48" i="5"/>
  <c r="AW48" i="5" s="1"/>
  <c r="AY48" i="5" s="1"/>
  <c r="AU49" i="5"/>
  <c r="Z19" i="5"/>
  <c r="E95" i="5"/>
  <c r="G95" i="5" s="1"/>
  <c r="AN95" i="5"/>
  <c r="Z81" i="5"/>
  <c r="L115" i="5"/>
  <c r="AG115" i="5"/>
  <c r="AI115" i="5" s="1"/>
  <c r="AK115" i="5" s="1"/>
  <c r="AG32" i="5"/>
  <c r="AI32" i="5" s="1"/>
  <c r="AK32" i="5" s="1"/>
  <c r="BG32" i="5"/>
  <c r="S10" i="5"/>
  <c r="T10" i="5" s="1"/>
  <c r="AU50" i="5"/>
  <c r="AW50" i="5" s="1"/>
  <c r="AY50" i="5" s="1"/>
  <c r="L31" i="5"/>
  <c r="M31" i="5" s="1"/>
  <c r="BM4" i="5"/>
  <c r="L95" i="5"/>
  <c r="BM64" i="5"/>
  <c r="Z115" i="5"/>
  <c r="BH82" i="5"/>
  <c r="BM51" i="5"/>
  <c r="BG83" i="5"/>
  <c r="BH33" i="5"/>
  <c r="AU33" i="5"/>
  <c r="AW33" i="5" s="1"/>
  <c r="AY33" i="5" s="1"/>
  <c r="AG47" i="5"/>
  <c r="AH47" i="5" s="1"/>
  <c r="BB47" i="5"/>
  <c r="Z94" i="5"/>
  <c r="AB94" i="5" s="1"/>
  <c r="AD94" i="5" s="1"/>
  <c r="BG79" i="5"/>
  <c r="E63" i="5"/>
  <c r="F63" i="5" s="1"/>
  <c r="Z31" i="5"/>
  <c r="AB31" i="5" s="1"/>
  <c r="AD31" i="5" s="1"/>
  <c r="AU4" i="5"/>
  <c r="AV4" i="5" s="1"/>
  <c r="AU80" i="5"/>
  <c r="AW80" i="5" s="1"/>
  <c r="AY80" i="5" s="1"/>
  <c r="BG48" i="5"/>
  <c r="BM81" i="5"/>
  <c r="BB81" i="5"/>
  <c r="S32" i="5"/>
  <c r="T32" i="5" s="1"/>
  <c r="BG21" i="5"/>
  <c r="BH34" i="5"/>
  <c r="AG12" i="5"/>
  <c r="AI12" i="5" s="1"/>
  <c r="AK12" i="5" s="1"/>
  <c r="BG12" i="5"/>
  <c r="BM86" i="5"/>
  <c r="BG22" i="5"/>
  <c r="BB13" i="5"/>
  <c r="BH13" i="5"/>
  <c r="BG53" i="5"/>
  <c r="BH86" i="5"/>
  <c r="AU86" i="5"/>
  <c r="AW86" i="5" s="1"/>
  <c r="AY86" i="5" s="1"/>
  <c r="BG54" i="5"/>
  <c r="BH67" i="5"/>
  <c r="BG35" i="5"/>
  <c r="S48" i="5"/>
  <c r="T48" i="5" s="1"/>
  <c r="S49" i="5"/>
  <c r="Z49" i="5"/>
  <c r="AA49" i="5" s="1"/>
  <c r="Z95" i="5"/>
  <c r="BG81" i="5"/>
  <c r="AU32" i="5"/>
  <c r="BG10" i="5"/>
  <c r="S50" i="5"/>
  <c r="U50" i="5" s="1"/>
  <c r="W50" i="5" s="1"/>
  <c r="AN50" i="5"/>
  <c r="BG50" i="5"/>
  <c r="AN20" i="5"/>
  <c r="AP20" i="5" s="1"/>
  <c r="AR20" i="5" s="1"/>
  <c r="Z96" i="5"/>
  <c r="AA96" i="5" s="1"/>
  <c r="L83" i="5"/>
  <c r="N83" i="5" s="1"/>
  <c r="P83" i="5" s="1"/>
  <c r="BG105" i="5"/>
  <c r="L33" i="5"/>
  <c r="AN33" i="5"/>
  <c r="BG11" i="5"/>
  <c r="BG84" i="5"/>
  <c r="L52" i="5"/>
  <c r="M52" i="5" s="1"/>
  <c r="AN52" i="5"/>
  <c r="AO52" i="5" s="1"/>
  <c r="BM97" i="5"/>
  <c r="AN85" i="5"/>
  <c r="AO85" i="5" s="1"/>
  <c r="AG106" i="5"/>
  <c r="BB66" i="5"/>
  <c r="BC66" i="5" s="1"/>
  <c r="AN117" i="5"/>
  <c r="AP117" i="5" s="1"/>
  <c r="AR117" i="5" s="1"/>
  <c r="BB117" i="5"/>
  <c r="Z12" i="5"/>
  <c r="AB12" i="5" s="1"/>
  <c r="AD12" i="5" s="1"/>
  <c r="BG86" i="5"/>
  <c r="BM87" i="5"/>
  <c r="BM88" i="5"/>
  <c r="E96" i="5"/>
  <c r="AG96" i="5"/>
  <c r="BM96" i="5"/>
  <c r="BM83" i="5"/>
  <c r="BM33" i="5"/>
  <c r="BG34" i="5"/>
  <c r="BM54" i="5"/>
  <c r="BH98" i="5"/>
  <c r="BH57" i="5"/>
  <c r="BG125" i="5"/>
  <c r="S12" i="5"/>
  <c r="AU12" i="5"/>
  <c r="AW12" i="5" s="1"/>
  <c r="AY12" i="5" s="1"/>
  <c r="E55" i="5"/>
  <c r="BM55" i="5"/>
  <c r="S22" i="5"/>
  <c r="T22" i="5" s="1"/>
  <c r="AG22" i="5"/>
  <c r="AI22" i="5" s="1"/>
  <c r="AK22" i="5" s="1"/>
  <c r="AN98" i="5"/>
  <c r="AN87" i="5"/>
  <c r="AP87" i="5" s="1"/>
  <c r="AR87" i="5" s="1"/>
  <c r="E107" i="5"/>
  <c r="L67" i="5"/>
  <c r="N67" i="5" s="1"/>
  <c r="P67" i="5" s="1"/>
  <c r="AG67" i="5"/>
  <c r="AI67" i="5" s="1"/>
  <c r="AK67" i="5" s="1"/>
  <c r="AU67" i="5"/>
  <c r="AV67" i="5" s="1"/>
  <c r="BG118" i="5"/>
  <c r="Z35" i="5"/>
  <c r="AA35" i="5" s="1"/>
  <c r="Z13" i="5"/>
  <c r="BG13" i="5"/>
  <c r="AN88" i="5"/>
  <c r="BH88" i="5"/>
  <c r="BG56" i="5"/>
  <c r="AN57" i="5"/>
  <c r="BG23" i="5"/>
  <c r="AN122" i="5"/>
  <c r="AO122" i="5" s="1"/>
  <c r="S123" i="5"/>
  <c r="U123" i="5" s="1"/>
  <c r="W123" i="5" s="1"/>
  <c r="AU123" i="5"/>
  <c r="AW123" i="5" s="1"/>
  <c r="AY123" i="5" s="1"/>
  <c r="BH124" i="5"/>
  <c r="S125" i="5"/>
  <c r="AU125" i="5"/>
  <c r="BG126" i="5"/>
  <c r="E127" i="5"/>
  <c r="G127" i="5" s="1"/>
  <c r="S127" i="5"/>
  <c r="U127" i="5" s="1"/>
  <c r="W127" i="5" s="1"/>
  <c r="AG127" i="5"/>
  <c r="AI127" i="5" s="1"/>
  <c r="AK127" i="5" s="1"/>
  <c r="AU127" i="5"/>
  <c r="AW127" i="5" s="1"/>
  <c r="AY127" i="5" s="1"/>
  <c r="S128" i="5"/>
  <c r="BG128" i="5"/>
  <c r="Z131" i="5"/>
  <c r="AA131" i="5" s="1"/>
  <c r="Z132" i="5"/>
  <c r="AA132" i="5" s="1"/>
  <c r="E133" i="5"/>
  <c r="G133" i="5" s="1"/>
  <c r="AG133" i="5"/>
  <c r="AI133" i="5" s="1"/>
  <c r="AK133" i="5" s="1"/>
  <c r="BH134" i="5"/>
  <c r="BG122" i="5"/>
  <c r="BM125" i="5"/>
  <c r="BH125" i="5"/>
  <c r="BH126" i="5"/>
  <c r="BG127" i="5"/>
  <c r="BG129" i="5"/>
  <c r="BH132" i="5"/>
  <c r="BG133" i="5"/>
  <c r="BG135" i="5"/>
  <c r="E54" i="5"/>
  <c r="L54" i="5"/>
  <c r="S54" i="5"/>
  <c r="Z54" i="5"/>
  <c r="AG54" i="5"/>
  <c r="AN54" i="5"/>
  <c r="AU54" i="5"/>
  <c r="BB54" i="5"/>
  <c r="AG55" i="5"/>
  <c r="BH55" i="5"/>
  <c r="L22" i="5"/>
  <c r="N22" i="5" s="1"/>
  <c r="P22" i="5" s="1"/>
  <c r="Z22" i="5"/>
  <c r="AB22" i="5" s="1"/>
  <c r="AD22" i="5" s="1"/>
  <c r="AN22" i="5"/>
  <c r="AP22" i="5" s="1"/>
  <c r="AR22" i="5" s="1"/>
  <c r="BB22" i="5"/>
  <c r="BD22" i="5" s="1"/>
  <c r="BF22" i="5" s="1"/>
  <c r="AG87" i="5"/>
  <c r="AI87" i="5" s="1"/>
  <c r="AK87" i="5" s="1"/>
  <c r="L118" i="5"/>
  <c r="N118" i="5" s="1"/>
  <c r="P118" i="5" s="1"/>
  <c r="Z118" i="5"/>
  <c r="E35" i="5"/>
  <c r="L35" i="5"/>
  <c r="L13" i="5"/>
  <c r="AN13" i="5"/>
  <c r="L88" i="5"/>
  <c r="L56" i="5"/>
  <c r="N56" i="5" s="1"/>
  <c r="P56" i="5" s="1"/>
  <c r="BH23" i="5"/>
  <c r="S108" i="5"/>
  <c r="AU122" i="5"/>
  <c r="AG123" i="5"/>
  <c r="AI123" i="5" s="1"/>
  <c r="AK123" i="5" s="1"/>
  <c r="BG123" i="5"/>
  <c r="E125" i="5"/>
  <c r="AG125" i="5"/>
  <c r="BB126" i="5"/>
  <c r="L127" i="5"/>
  <c r="M127" i="5" s="1"/>
  <c r="Z127" i="5"/>
  <c r="AB127" i="5" s="1"/>
  <c r="AD127" i="5" s="1"/>
  <c r="AN127" i="5"/>
  <c r="AO127" i="5" s="1"/>
  <c r="AG128" i="5"/>
  <c r="AH128" i="5" s="1"/>
  <c r="BM129" i="5"/>
  <c r="L131" i="5"/>
  <c r="M131" i="5" s="1"/>
  <c r="AN131" i="5"/>
  <c r="AO131" i="5" s="1"/>
  <c r="L132" i="5"/>
  <c r="AU132" i="5"/>
  <c r="AW132" i="5" s="1"/>
  <c r="AY132" i="5" s="1"/>
  <c r="S133" i="5"/>
  <c r="AU133" i="5"/>
  <c r="AW133" i="5" s="1"/>
  <c r="AY133" i="5" s="1"/>
  <c r="S134" i="5"/>
  <c r="T134" i="5" s="1"/>
  <c r="BM68" i="5"/>
  <c r="E68" i="5"/>
  <c r="BH24" i="5"/>
  <c r="BB24" i="5"/>
  <c r="BG89" i="5"/>
  <c r="BB89" i="5"/>
  <c r="BM99" i="5"/>
  <c r="E99" i="5"/>
  <c r="BH8" i="5"/>
  <c r="BG16" i="5"/>
  <c r="BB16" i="5"/>
  <c r="BM16" i="5"/>
  <c r="BM92" i="5"/>
  <c r="BH92" i="5"/>
  <c r="BM112" i="5"/>
  <c r="BM47" i="5"/>
  <c r="E47" i="5"/>
  <c r="S119" i="5"/>
  <c r="BM24" i="5"/>
  <c r="E70" i="5"/>
  <c r="S70" i="5"/>
  <c r="AG70" i="5"/>
  <c r="AU70" i="5"/>
  <c r="BH70" i="5"/>
  <c r="BH99" i="5"/>
  <c r="BM58" i="5"/>
  <c r="BG71" i="5"/>
  <c r="BG72" i="5"/>
  <c r="BB72" i="5"/>
  <c r="BM72" i="5"/>
  <c r="BM120" i="5"/>
  <c r="BH120" i="5"/>
  <c r="BH110" i="5"/>
  <c r="BB110" i="5"/>
  <c r="BM73" i="5"/>
  <c r="E73" i="5"/>
  <c r="BG73" i="5"/>
  <c r="BM74" i="5"/>
  <c r="BG9" i="5"/>
  <c r="BB9" i="5"/>
  <c r="BM9" i="5"/>
  <c r="BM75" i="5"/>
  <c r="BH75" i="5"/>
  <c r="BH43" i="5"/>
  <c r="BB43" i="5"/>
  <c r="BM121" i="5"/>
  <c r="E121" i="5"/>
  <c r="BG121" i="5"/>
  <c r="BH62" i="5"/>
  <c r="BB62" i="5"/>
  <c r="BG46" i="5"/>
  <c r="BG27" i="5"/>
  <c r="BB27" i="5"/>
  <c r="BM27" i="5"/>
  <c r="BG91" i="5"/>
  <c r="BH101" i="5"/>
  <c r="BB101" i="5"/>
  <c r="BB112" i="5"/>
  <c r="BG112" i="5"/>
  <c r="BG6" i="5"/>
  <c r="AU6" i="5"/>
  <c r="BG93" i="5"/>
  <c r="E119" i="5"/>
  <c r="AU119" i="5"/>
  <c r="BH68" i="5"/>
  <c r="E25" i="5"/>
  <c r="BG69" i="5"/>
  <c r="BB69" i="5"/>
  <c r="L3" i="5"/>
  <c r="AN3" i="5"/>
  <c r="BB99" i="5"/>
  <c r="BG109" i="5"/>
  <c r="BB109" i="5"/>
  <c r="BM7" i="5"/>
  <c r="E7" i="5"/>
  <c r="BG7" i="5"/>
  <c r="L71" i="5"/>
  <c r="Z71" i="5"/>
  <c r="AN71" i="5"/>
  <c r="BH71" i="5"/>
  <c r="BB71" i="5"/>
  <c r="BG38" i="5"/>
  <c r="BB38" i="5"/>
  <c r="BM38" i="5"/>
  <c r="BM39" i="5"/>
  <c r="BH39" i="5"/>
  <c r="BH90" i="5"/>
  <c r="BB90" i="5"/>
  <c r="BM59" i="5"/>
  <c r="E59" i="5"/>
  <c r="BG59" i="5"/>
  <c r="BM40" i="5"/>
  <c r="BG100" i="5"/>
  <c r="BB100" i="5"/>
  <c r="BM100" i="5"/>
  <c r="BM60" i="5"/>
  <c r="BH60" i="5"/>
  <c r="BH28" i="5"/>
  <c r="BB28" i="5"/>
  <c r="BM42" i="5"/>
  <c r="E42" i="5"/>
  <c r="BG42" i="5"/>
  <c r="BM101" i="5"/>
  <c r="BH29" i="5"/>
  <c r="BB29" i="5"/>
  <c r="BM93" i="5"/>
  <c r="BH47" i="5"/>
  <c r="BM103" i="5"/>
  <c r="S103" i="5"/>
  <c r="BG25" i="5"/>
  <c r="BB25" i="5"/>
  <c r="BG68" i="5"/>
  <c r="BG99" i="5"/>
  <c r="BH58" i="5"/>
  <c r="BB58" i="5"/>
  <c r="BH40" i="5"/>
  <c r="BB40" i="5"/>
  <c r="BM91" i="5"/>
  <c r="E91" i="5"/>
  <c r="BM76" i="5"/>
  <c r="AG119" i="5"/>
  <c r="BG3" i="5"/>
  <c r="BB68" i="5"/>
  <c r="BM37" i="5"/>
  <c r="E37" i="5"/>
  <c r="BG37" i="5"/>
  <c r="Z3" i="5"/>
  <c r="BH3" i="5"/>
  <c r="BB3" i="5"/>
  <c r="E89" i="5"/>
  <c r="BG24" i="5"/>
  <c r="E36" i="5"/>
  <c r="S36" i="5"/>
  <c r="AG36" i="5"/>
  <c r="AU36" i="5"/>
  <c r="BH36" i="5"/>
  <c r="BH37" i="5"/>
  <c r="BG58" i="5"/>
  <c r="E26" i="5"/>
  <c r="S26" i="5"/>
  <c r="AG26" i="5"/>
  <c r="AU26" i="5"/>
  <c r="BH26" i="5"/>
  <c r="BH7" i="5"/>
  <c r="BM14" i="5"/>
  <c r="E14" i="5"/>
  <c r="BG14" i="5"/>
  <c r="BM110" i="5"/>
  <c r="BG41" i="5"/>
  <c r="BB41" i="5"/>
  <c r="BM41" i="5"/>
  <c r="BM15" i="5"/>
  <c r="BH15" i="5"/>
  <c r="BH74" i="5"/>
  <c r="BB74" i="5"/>
  <c r="BM111" i="5"/>
  <c r="E111" i="5"/>
  <c r="BG111" i="5"/>
  <c r="BM43" i="5"/>
  <c r="BM61" i="5"/>
  <c r="BH112" i="5"/>
  <c r="AU112" i="5"/>
  <c r="BM29" i="5"/>
  <c r="BM6" i="5"/>
  <c r="BM77" i="5"/>
  <c r="E77" i="5"/>
  <c r="BH77" i="5"/>
  <c r="AU77" i="5"/>
  <c r="BM46" i="5"/>
  <c r="BH18" i="5"/>
  <c r="AU18" i="5"/>
  <c r="BG94" i="5"/>
  <c r="AN61" i="5"/>
  <c r="E29" i="5"/>
  <c r="AG29" i="5"/>
  <c r="BG44" i="5"/>
  <c r="BB44" i="5"/>
  <c r="BM45" i="5"/>
  <c r="BM17" i="5"/>
  <c r="E17" i="5"/>
  <c r="BG17" i="5"/>
  <c r="L93" i="5"/>
  <c r="Z93" i="5"/>
  <c r="AN93" i="5"/>
  <c r="BH93" i="5"/>
  <c r="BB93" i="5"/>
  <c r="BG30" i="5"/>
  <c r="BB30" i="5"/>
  <c r="BM5" i="5"/>
  <c r="BM78" i="5"/>
  <c r="E78" i="5"/>
  <c r="BG78" i="5"/>
  <c r="L46" i="5"/>
  <c r="Z46" i="5"/>
  <c r="AN46" i="5"/>
  <c r="BH46" i="5"/>
  <c r="BB46" i="5"/>
  <c r="BM63" i="5"/>
  <c r="BH31" i="5"/>
  <c r="BB31" i="5"/>
  <c r="E80" i="5"/>
  <c r="AG80" i="5"/>
  <c r="BH48" i="5"/>
  <c r="BM115" i="5"/>
  <c r="E115" i="5"/>
  <c r="BM50" i="5"/>
  <c r="AG51" i="5"/>
  <c r="BH51" i="5"/>
  <c r="BH115" i="5"/>
  <c r="AU115" i="5"/>
  <c r="BB124" i="5"/>
  <c r="BG124" i="5"/>
  <c r="BG61" i="5"/>
  <c r="BH6" i="5"/>
  <c r="BG76" i="5"/>
  <c r="BH45" i="5"/>
  <c r="BH17" i="5"/>
  <c r="BG113" i="5"/>
  <c r="BH5" i="5"/>
  <c r="BH78" i="5"/>
  <c r="BB18" i="5"/>
  <c r="BG18" i="5"/>
  <c r="BH94" i="5"/>
  <c r="BB94" i="5"/>
  <c r="BM79" i="5"/>
  <c r="L79" i="5"/>
  <c r="AN79" i="5"/>
  <c r="BG63" i="5"/>
  <c r="BG31" i="5"/>
  <c r="BG64" i="5"/>
  <c r="BG20" i="5"/>
  <c r="BG65" i="5"/>
  <c r="BH61" i="5"/>
  <c r="BH76" i="5"/>
  <c r="BB76" i="5"/>
  <c r="BG77" i="5"/>
  <c r="BB77" i="5"/>
  <c r="BM102" i="5"/>
  <c r="BM62" i="5"/>
  <c r="E62" i="5"/>
  <c r="BG62" i="5"/>
  <c r="BH113" i="5"/>
  <c r="BB113" i="5"/>
  <c r="BM18" i="5"/>
  <c r="BM31" i="5"/>
  <c r="BH49" i="5"/>
  <c r="BB49" i="5"/>
  <c r="BH32" i="5"/>
  <c r="Z103" i="5"/>
  <c r="BB103" i="5"/>
  <c r="BH103" i="5"/>
  <c r="S114" i="5"/>
  <c r="AU114" i="5"/>
  <c r="BG4" i="5"/>
  <c r="BH80" i="5"/>
  <c r="BG95" i="5"/>
  <c r="BB95" i="5"/>
  <c r="BM104" i="5"/>
  <c r="E104" i="5"/>
  <c r="BG104" i="5"/>
  <c r="L64" i="5"/>
  <c r="Z64" i="5"/>
  <c r="AN64" i="5"/>
  <c r="BH64" i="5"/>
  <c r="BB64" i="5"/>
  <c r="BG82" i="5"/>
  <c r="AG82" i="5"/>
  <c r="BM53" i="5"/>
  <c r="L47" i="5"/>
  <c r="AN47" i="5"/>
  <c r="E94" i="5"/>
  <c r="AG94" i="5"/>
  <c r="BM114" i="5"/>
  <c r="Z4" i="5"/>
  <c r="BB4" i="5"/>
  <c r="BH4" i="5"/>
  <c r="BG19" i="5"/>
  <c r="E81" i="5"/>
  <c r="S81" i="5"/>
  <c r="AG81" i="5"/>
  <c r="AU81" i="5"/>
  <c r="BH81" i="5"/>
  <c r="BH104" i="5"/>
  <c r="AU10" i="5"/>
  <c r="BH10" i="5"/>
  <c r="BB82" i="5"/>
  <c r="BH96" i="5"/>
  <c r="BB96" i="5"/>
  <c r="BH116" i="5"/>
  <c r="BB116" i="5"/>
  <c r="BM21" i="5"/>
  <c r="S66" i="5"/>
  <c r="BM66" i="5"/>
  <c r="BG47" i="5"/>
  <c r="AU79" i="5"/>
  <c r="BH79" i="5"/>
  <c r="AU63" i="5"/>
  <c r="BH114" i="5"/>
  <c r="BM48" i="5"/>
  <c r="BM49" i="5"/>
  <c r="E49" i="5"/>
  <c r="BG49" i="5"/>
  <c r="BH19" i="5"/>
  <c r="BB19" i="5"/>
  <c r="BG115" i="5"/>
  <c r="BB115" i="5"/>
  <c r="BM32" i="5"/>
  <c r="BM10" i="5"/>
  <c r="E10" i="5"/>
  <c r="BM82" i="5"/>
  <c r="E82" i="5"/>
  <c r="BG51" i="5"/>
  <c r="BG96" i="5"/>
  <c r="BH83" i="5"/>
  <c r="BM105" i="5"/>
  <c r="BM65" i="5"/>
  <c r="BM116" i="5"/>
  <c r="Z50" i="5"/>
  <c r="BB50" i="5"/>
  <c r="BH50" i="5"/>
  <c r="S20" i="5"/>
  <c r="AU20" i="5"/>
  <c r="BB83" i="5"/>
  <c r="E105" i="5"/>
  <c r="S105" i="5"/>
  <c r="AG105" i="5"/>
  <c r="AU105" i="5"/>
  <c r="BH105" i="5"/>
  <c r="E65" i="5"/>
  <c r="S65" i="5"/>
  <c r="AG65" i="5"/>
  <c r="AU65" i="5"/>
  <c r="BH65" i="5"/>
  <c r="BG52" i="5"/>
  <c r="L53" i="5"/>
  <c r="Z53" i="5"/>
  <c r="AN53" i="5"/>
  <c r="BB53" i="5"/>
  <c r="E21" i="5"/>
  <c r="S21" i="5"/>
  <c r="AG21" i="5"/>
  <c r="AU21" i="5"/>
  <c r="BH21" i="5"/>
  <c r="E97" i="5"/>
  <c r="S97" i="5"/>
  <c r="AG97" i="5"/>
  <c r="L85" i="5"/>
  <c r="BG85" i="5"/>
  <c r="BG66" i="5"/>
  <c r="AU55" i="5"/>
  <c r="BG55" i="5"/>
  <c r="BG57" i="5"/>
  <c r="BB57" i="5"/>
  <c r="BM20" i="5"/>
  <c r="BG33" i="5"/>
  <c r="BM11" i="5"/>
  <c r="BM84" i="5"/>
  <c r="BH52" i="5"/>
  <c r="BB52" i="5"/>
  <c r="BH20" i="5"/>
  <c r="BG116" i="5"/>
  <c r="BH11" i="5"/>
  <c r="S84" i="5"/>
  <c r="AG84" i="5"/>
  <c r="AU84" i="5"/>
  <c r="BH84" i="5"/>
  <c r="BM52" i="5"/>
  <c r="BG97" i="5"/>
  <c r="BH97" i="5"/>
  <c r="BB97" i="5"/>
  <c r="AU117" i="5"/>
  <c r="BH117" i="5"/>
  <c r="AU22" i="5"/>
  <c r="BH22" i="5"/>
  <c r="BB98" i="5"/>
  <c r="BG98" i="5"/>
  <c r="S106" i="5"/>
  <c r="BG106" i="5"/>
  <c r="BH66" i="5"/>
  <c r="BM117" i="5"/>
  <c r="BG107" i="5"/>
  <c r="BH118" i="5"/>
  <c r="Z57" i="5"/>
  <c r="BM57" i="5"/>
  <c r="BM106" i="5"/>
  <c r="AN106" i="5"/>
  <c r="E117" i="5"/>
  <c r="BM12" i="5"/>
  <c r="E12" i="5"/>
  <c r="BB12" i="5"/>
  <c r="BH12" i="5"/>
  <c r="BM22" i="5"/>
  <c r="E22" i="5"/>
  <c r="BH35" i="5"/>
  <c r="BB35" i="5"/>
  <c r="E106" i="5"/>
  <c r="E66" i="5"/>
  <c r="BG117" i="5"/>
  <c r="E67" i="5"/>
  <c r="BM67" i="5"/>
  <c r="Z106" i="5"/>
  <c r="BB106" i="5"/>
  <c r="BH106" i="5"/>
  <c r="BG87" i="5"/>
  <c r="BG67" i="5"/>
  <c r="BM35" i="5"/>
  <c r="BM98" i="5"/>
  <c r="AU108" i="5"/>
  <c r="BH108" i="5"/>
  <c r="E87" i="5"/>
  <c r="Z107" i="5"/>
  <c r="BB107" i="5"/>
  <c r="BH107" i="5"/>
  <c r="BM107" i="5"/>
  <c r="S118" i="5"/>
  <c r="AU118" i="5"/>
  <c r="BG88" i="5"/>
  <c r="BM56" i="5"/>
  <c r="BH56" i="5"/>
  <c r="BB56" i="5"/>
  <c r="BM23" i="5"/>
  <c r="E23" i="5"/>
  <c r="BM108" i="5"/>
  <c r="E108" i="5"/>
  <c r="AG108" i="5"/>
  <c r="BG108" i="5"/>
  <c r="BM122" i="5"/>
  <c r="AU134" i="5"/>
  <c r="BG134" i="5"/>
  <c r="BM118" i="5"/>
  <c r="BM124" i="5"/>
  <c r="E124" i="5"/>
  <c r="BB127" i="5"/>
  <c r="BH127" i="5"/>
  <c r="BH87" i="5"/>
  <c r="L107" i="5"/>
  <c r="AN107" i="5"/>
  <c r="E118" i="5"/>
  <c r="AG118" i="5"/>
  <c r="BB118" i="5"/>
  <c r="BM13" i="5"/>
  <c r="E13" i="5"/>
  <c r="BH123" i="5"/>
  <c r="BM123" i="5"/>
  <c r="E123" i="5"/>
  <c r="BH122" i="5"/>
  <c r="BM127" i="5"/>
  <c r="BH128" i="5"/>
  <c r="BH135" i="5"/>
  <c r="BB135" i="5"/>
  <c r="BM131" i="5"/>
  <c r="BG131" i="5"/>
  <c r="BG132" i="5"/>
  <c r="BB132" i="5"/>
  <c r="BM132" i="5"/>
  <c r="BM133" i="5"/>
  <c r="BH133" i="5"/>
  <c r="BM130" i="5"/>
  <c r="E130" i="5"/>
  <c r="BG130" i="5"/>
  <c r="BH131" i="5"/>
  <c r="BB131" i="5"/>
  <c r="BM134" i="5"/>
  <c r="E134" i="5"/>
  <c r="E129" i="5"/>
  <c r="S129" i="5"/>
  <c r="AG129" i="5"/>
  <c r="AU129" i="5"/>
  <c r="BH129" i="5"/>
  <c r="BH130" i="5"/>
  <c r="M134" i="5"/>
  <c r="BM135" i="5"/>
  <c r="AP97" i="5" l="1"/>
  <c r="AR97" i="5" s="1"/>
  <c r="M108" i="5"/>
  <c r="M122" i="5"/>
  <c r="AV99" i="5"/>
  <c r="N87" i="5"/>
  <c r="P87" i="5" s="1"/>
  <c r="AP124" i="5"/>
  <c r="AR124" i="5" s="1"/>
  <c r="AP102" i="5"/>
  <c r="AR102" i="5" s="1"/>
  <c r="U80" i="5"/>
  <c r="W80" i="5" s="1"/>
  <c r="T24" i="5"/>
  <c r="M36" i="5"/>
  <c r="BC134" i="5"/>
  <c r="AO56" i="5"/>
  <c r="AW98" i="5"/>
  <c r="AY98" i="5" s="1"/>
  <c r="M124" i="5"/>
  <c r="M60" i="5"/>
  <c r="M70" i="5"/>
  <c r="F69" i="5"/>
  <c r="AB9" i="5"/>
  <c r="AD9" i="5" s="1"/>
  <c r="F109" i="5"/>
  <c r="U23" i="5"/>
  <c r="W23" i="5" s="1"/>
  <c r="AW76" i="5"/>
  <c r="AY76" i="5" s="1"/>
  <c r="U131" i="5"/>
  <c r="W131" i="5" s="1"/>
  <c r="AB124" i="5"/>
  <c r="AD124" i="5" s="1"/>
  <c r="T99" i="5"/>
  <c r="AH99" i="5"/>
  <c r="AP49" i="5"/>
  <c r="AR49" i="5" s="1"/>
  <c r="M26" i="5"/>
  <c r="AV96" i="5"/>
  <c r="T124" i="5"/>
  <c r="T79" i="5"/>
  <c r="AH100" i="5"/>
  <c r="N14" i="5"/>
  <c r="P14" i="5" s="1"/>
  <c r="AA84" i="5"/>
  <c r="T109" i="5"/>
  <c r="T43" i="5"/>
  <c r="G53" i="5"/>
  <c r="I53" i="5" s="1"/>
  <c r="M28" i="5"/>
  <c r="N17" i="5"/>
  <c r="P17" i="5" s="1"/>
  <c r="AW95" i="5"/>
  <c r="AY95" i="5" s="1"/>
  <c r="AB128" i="5"/>
  <c r="AD128" i="5" s="1"/>
  <c r="T117" i="5"/>
  <c r="AA48" i="5"/>
  <c r="T132" i="5"/>
  <c r="F57" i="5"/>
  <c r="AV106" i="5"/>
  <c r="BD86" i="5"/>
  <c r="BF86" i="5" s="1"/>
  <c r="U59" i="5"/>
  <c r="W59" i="5" s="1"/>
  <c r="AW74" i="5"/>
  <c r="AY74" i="5" s="1"/>
  <c r="AI124" i="5"/>
  <c r="AK124" i="5" s="1"/>
  <c r="AP67" i="5"/>
  <c r="AR67" i="5" s="1"/>
  <c r="U53" i="5"/>
  <c r="W53" i="5" s="1"/>
  <c r="U85" i="5"/>
  <c r="W85" i="5" s="1"/>
  <c r="N20" i="5"/>
  <c r="P20" i="5" s="1"/>
  <c r="N10" i="5"/>
  <c r="P10" i="5" s="1"/>
  <c r="G31" i="5"/>
  <c r="I31" i="5" s="1"/>
  <c r="BD14" i="5"/>
  <c r="BF14" i="5" s="1"/>
  <c r="AV31" i="5"/>
  <c r="AW27" i="5"/>
  <c r="AY27" i="5" s="1"/>
  <c r="AO135" i="5"/>
  <c r="T56" i="5"/>
  <c r="AH23" i="5"/>
  <c r="AP55" i="5"/>
  <c r="AR55" i="5" s="1"/>
  <c r="AP65" i="5"/>
  <c r="AR65" i="5" s="1"/>
  <c r="AH38" i="5"/>
  <c r="AB40" i="5"/>
  <c r="AD40" i="5" s="1"/>
  <c r="AH24" i="5"/>
  <c r="AO45" i="5"/>
  <c r="AO5" i="5"/>
  <c r="U40" i="5"/>
  <c r="W40" i="5" s="1"/>
  <c r="AV23" i="5"/>
  <c r="F56" i="5"/>
  <c r="AO117" i="5"/>
  <c r="F86" i="5"/>
  <c r="AA65" i="5"/>
  <c r="BC51" i="5"/>
  <c r="AA32" i="5"/>
  <c r="BC48" i="5"/>
  <c r="AB16" i="5"/>
  <c r="AD16" i="5" s="1"/>
  <c r="BI38" i="5"/>
  <c r="AA18" i="5"/>
  <c r="AA62" i="5"/>
  <c r="F27" i="5"/>
  <c r="T120" i="5"/>
  <c r="AA5" i="5"/>
  <c r="AA8" i="5"/>
  <c r="BI67" i="5"/>
  <c r="U18" i="5"/>
  <c r="W18" i="5" s="1"/>
  <c r="AI104" i="5"/>
  <c r="AK104" i="5" s="1"/>
  <c r="AI132" i="5"/>
  <c r="AK132" i="5" s="1"/>
  <c r="AA23" i="5"/>
  <c r="G128" i="5"/>
  <c r="I128" i="5" s="1"/>
  <c r="M12" i="5"/>
  <c r="AP118" i="5"/>
  <c r="AR118" i="5" s="1"/>
  <c r="AB87" i="5"/>
  <c r="AD87" i="5" s="1"/>
  <c r="BI22" i="5"/>
  <c r="AI86" i="5"/>
  <c r="AK86" i="5" s="1"/>
  <c r="AH53" i="5"/>
  <c r="AH33" i="5"/>
  <c r="G51" i="5"/>
  <c r="I51" i="5" s="1"/>
  <c r="U61" i="5"/>
  <c r="W61" i="5" s="1"/>
  <c r="BI54" i="5"/>
  <c r="F52" i="5"/>
  <c r="G50" i="5"/>
  <c r="I50" i="5" s="1"/>
  <c r="AW121" i="5"/>
  <c r="AY121" i="5" s="1"/>
  <c r="AH28" i="5"/>
  <c r="F90" i="5"/>
  <c r="AA120" i="5"/>
  <c r="G74" i="5"/>
  <c r="I74" i="5" s="1"/>
  <c r="N86" i="5"/>
  <c r="P86" i="5" s="1"/>
  <c r="AO32" i="5"/>
  <c r="BD11" i="5"/>
  <c r="BF11" i="5" s="1"/>
  <c r="AH62" i="5"/>
  <c r="AO90" i="5"/>
  <c r="AA119" i="5"/>
  <c r="N110" i="5"/>
  <c r="P110" i="5" s="1"/>
  <c r="AH130" i="5"/>
  <c r="AI11" i="5"/>
  <c r="AK11" i="5" s="1"/>
  <c r="AV47" i="5"/>
  <c r="G103" i="5"/>
  <c r="I103" i="5" s="1"/>
  <c r="AO21" i="5"/>
  <c r="AP129" i="5"/>
  <c r="AR129" i="5" s="1"/>
  <c r="BC85" i="5"/>
  <c r="AW72" i="5"/>
  <c r="AY72" i="5" s="1"/>
  <c r="M133" i="5"/>
  <c r="F131" i="5"/>
  <c r="AB105" i="5"/>
  <c r="AD105" i="5" s="1"/>
  <c r="BC39" i="5"/>
  <c r="T33" i="5"/>
  <c r="M48" i="5"/>
  <c r="T44" i="5"/>
  <c r="AP6" i="5"/>
  <c r="AR6" i="5" s="1"/>
  <c r="AV60" i="5"/>
  <c r="BD37" i="5"/>
  <c r="BF37" i="5" s="1"/>
  <c r="AW131" i="5"/>
  <c r="AY131" i="5" s="1"/>
  <c r="F20" i="5"/>
  <c r="AH111" i="5"/>
  <c r="BD6" i="5"/>
  <c r="BF6" i="5" s="1"/>
  <c r="BD15" i="5"/>
  <c r="BF15" i="5" s="1"/>
  <c r="M23" i="5"/>
  <c r="F38" i="5"/>
  <c r="N74" i="5"/>
  <c r="P74" i="5" s="1"/>
  <c r="AB102" i="5"/>
  <c r="AD102" i="5" s="1"/>
  <c r="AV116" i="5"/>
  <c r="N127" i="5"/>
  <c r="P127" i="5" s="1"/>
  <c r="AO66" i="5"/>
  <c r="AH30" i="5"/>
  <c r="AA11" i="5"/>
  <c r="BI5" i="5"/>
  <c r="BI28" i="5"/>
  <c r="N58" i="5"/>
  <c r="P58" i="5" s="1"/>
  <c r="AH69" i="5"/>
  <c r="AI126" i="5"/>
  <c r="AK126" i="5" s="1"/>
  <c r="U14" i="5"/>
  <c r="W14" i="5" s="1"/>
  <c r="AH83" i="5"/>
  <c r="AB104" i="5"/>
  <c r="AD104" i="5" s="1"/>
  <c r="AB116" i="5"/>
  <c r="AD116" i="5" s="1"/>
  <c r="T31" i="5"/>
  <c r="T76" i="5"/>
  <c r="AA10" i="5"/>
  <c r="AO17" i="5"/>
  <c r="G44" i="5"/>
  <c r="I44" i="5" s="1"/>
  <c r="AH109" i="5"/>
  <c r="BD59" i="5"/>
  <c r="BF59" i="5" s="1"/>
  <c r="AI39" i="5"/>
  <c r="AK39" i="5" s="1"/>
  <c r="F122" i="5"/>
  <c r="BC120" i="5"/>
  <c r="AB112" i="5"/>
  <c r="AD112" i="5" s="1"/>
  <c r="AA22" i="5"/>
  <c r="F4" i="5"/>
  <c r="AW39" i="5"/>
  <c r="AY39" i="5" s="1"/>
  <c r="AH6" i="5"/>
  <c r="G8" i="5"/>
  <c r="I8" i="5" s="1"/>
  <c r="BI135" i="5"/>
  <c r="BD128" i="5"/>
  <c r="BF128" i="5" s="1"/>
  <c r="AO87" i="5"/>
  <c r="N4" i="5"/>
  <c r="P4" i="5" s="1"/>
  <c r="BD79" i="5"/>
  <c r="BF79" i="5" s="1"/>
  <c r="AW14" i="5"/>
  <c r="AY14" i="5" s="1"/>
  <c r="U35" i="5"/>
  <c r="W35" i="5" s="1"/>
  <c r="AO20" i="5"/>
  <c r="BC32" i="5"/>
  <c r="T94" i="5"/>
  <c r="F100" i="5"/>
  <c r="AO119" i="5"/>
  <c r="F41" i="5"/>
  <c r="AH9" i="5"/>
  <c r="AA59" i="5"/>
  <c r="AI61" i="5"/>
  <c r="AK61" i="5" s="1"/>
  <c r="AB83" i="5"/>
  <c r="AD83" i="5" s="1"/>
  <c r="F116" i="5"/>
  <c r="M29" i="5"/>
  <c r="AW73" i="5"/>
  <c r="AY73" i="5" s="1"/>
  <c r="U51" i="5"/>
  <c r="W51" i="5" s="1"/>
  <c r="U46" i="5"/>
  <c r="W46" i="5" s="1"/>
  <c r="AH40" i="5"/>
  <c r="AA85" i="5"/>
  <c r="AV62" i="5"/>
  <c r="AP41" i="5"/>
  <c r="AR41" i="5" s="1"/>
  <c r="AW42" i="5"/>
  <c r="AY42" i="5" s="1"/>
  <c r="AW100" i="5"/>
  <c r="AY100" i="5" s="1"/>
  <c r="M90" i="5"/>
  <c r="AA121" i="5"/>
  <c r="AA7" i="5"/>
  <c r="BI13" i="5"/>
  <c r="U13" i="5"/>
  <c r="W13" i="5" s="1"/>
  <c r="T52" i="5"/>
  <c r="T87" i="5"/>
  <c r="BC5" i="5"/>
  <c r="AV7" i="5"/>
  <c r="AH114" i="5"/>
  <c r="AB97" i="5"/>
  <c r="AD97" i="5" s="1"/>
  <c r="BI10" i="5"/>
  <c r="AV80" i="5"/>
  <c r="M119" i="5"/>
  <c r="AW59" i="5"/>
  <c r="AY59" i="5" s="1"/>
  <c r="AI122" i="5"/>
  <c r="AK122" i="5" s="1"/>
  <c r="BC102" i="5"/>
  <c r="T64" i="5"/>
  <c r="AA134" i="5"/>
  <c r="AI128" i="5"/>
  <c r="AK128" i="5" s="1"/>
  <c r="AP122" i="5"/>
  <c r="AR122" i="5" s="1"/>
  <c r="AB98" i="5"/>
  <c r="AD98" i="5" s="1"/>
  <c r="U30" i="5"/>
  <c r="W30" i="5" s="1"/>
  <c r="AV24" i="5"/>
  <c r="AA73" i="5"/>
  <c r="AI47" i="5"/>
  <c r="AK47" i="5" s="1"/>
  <c r="AB110" i="5"/>
  <c r="AD110" i="5" s="1"/>
  <c r="AV109" i="5"/>
  <c r="T113" i="5"/>
  <c r="AH27" i="5"/>
  <c r="AB86" i="5"/>
  <c r="AD86" i="5" s="1"/>
  <c r="AB111" i="5"/>
  <c r="AD111" i="5" s="1"/>
  <c r="M125" i="5"/>
  <c r="M123" i="5"/>
  <c r="BI56" i="5"/>
  <c r="AH67" i="5"/>
  <c r="AP23" i="5"/>
  <c r="AR23" i="5" s="1"/>
  <c r="AV12" i="5"/>
  <c r="M66" i="5"/>
  <c r="AP104" i="5"/>
  <c r="AR104" i="5" s="1"/>
  <c r="M116" i="5"/>
  <c r="F18" i="5"/>
  <c r="T77" i="5"/>
  <c r="AA63" i="5"/>
  <c r="M112" i="5"/>
  <c r="AA26" i="5"/>
  <c r="T83" i="5"/>
  <c r="AW104" i="5"/>
  <c r="AY104" i="5" s="1"/>
  <c r="AV64" i="5"/>
  <c r="N102" i="5"/>
  <c r="P102" i="5" s="1"/>
  <c r="AV90" i="5"/>
  <c r="AV130" i="5"/>
  <c r="AH101" i="5"/>
  <c r="BI57" i="5"/>
  <c r="AW44" i="5"/>
  <c r="AY44" i="5" s="1"/>
  <c r="AV48" i="5"/>
  <c r="AA77" i="5"/>
  <c r="BD130" i="5"/>
  <c r="BF130" i="5" s="1"/>
  <c r="AW107" i="5"/>
  <c r="AY107" i="5" s="1"/>
  <c r="T115" i="5"/>
  <c r="F19" i="5"/>
  <c r="BD91" i="5"/>
  <c r="BF91" i="5" s="1"/>
  <c r="AO121" i="5"/>
  <c r="AA14" i="5"/>
  <c r="AV9" i="5"/>
  <c r="AP126" i="5"/>
  <c r="AR126" i="5" s="1"/>
  <c r="AA39" i="5"/>
  <c r="F71" i="5"/>
  <c r="BC33" i="5"/>
  <c r="BI123" i="5"/>
  <c r="AI95" i="5"/>
  <c r="AK95" i="5" s="1"/>
  <c r="BI95" i="5"/>
  <c r="AA17" i="5"/>
  <c r="N61" i="5"/>
  <c r="P61" i="5" s="1"/>
  <c r="G60" i="5"/>
  <c r="I60" i="5" s="1"/>
  <c r="T27" i="5"/>
  <c r="AO59" i="5"/>
  <c r="BC36" i="5"/>
  <c r="BI69" i="5"/>
  <c r="AO62" i="5"/>
  <c r="AH16" i="5"/>
  <c r="M91" i="5"/>
  <c r="BD55" i="5"/>
  <c r="BF55" i="5" s="1"/>
  <c r="M81" i="5"/>
  <c r="T47" i="5"/>
  <c r="M105" i="5"/>
  <c r="F85" i="5"/>
  <c r="AA80" i="5"/>
  <c r="AW124" i="5"/>
  <c r="AY124" i="5" s="1"/>
  <c r="M118" i="5"/>
  <c r="AH117" i="5"/>
  <c r="AI85" i="5"/>
  <c r="AK85" i="5" s="1"/>
  <c r="AV53" i="5"/>
  <c r="BC65" i="5"/>
  <c r="BD67" i="5"/>
  <c r="BF67" i="5" s="1"/>
  <c r="U86" i="5"/>
  <c r="W86" i="5" s="1"/>
  <c r="AH4" i="5"/>
  <c r="AO4" i="5"/>
  <c r="N114" i="5"/>
  <c r="P114" i="5" s="1"/>
  <c r="AW111" i="5"/>
  <c r="AY111" i="5" s="1"/>
  <c r="AV8" i="5"/>
  <c r="T100" i="5"/>
  <c r="AP99" i="5"/>
  <c r="AR99" i="5" s="1"/>
  <c r="AA126" i="5"/>
  <c r="AW51" i="5"/>
  <c r="AY51" i="5" s="1"/>
  <c r="AO81" i="5"/>
  <c r="BC45" i="5"/>
  <c r="T101" i="5"/>
  <c r="M92" i="5"/>
  <c r="AH110" i="5"/>
  <c r="AA15" i="5"/>
  <c r="AV110" i="5"/>
  <c r="T71" i="5"/>
  <c r="AA114" i="5"/>
  <c r="T116" i="5"/>
  <c r="AO134" i="5"/>
  <c r="AW128" i="5"/>
  <c r="AY128" i="5" s="1"/>
  <c r="AO130" i="5"/>
  <c r="BI12" i="5"/>
  <c r="AW34" i="5"/>
  <c r="AY34" i="5" s="1"/>
  <c r="AW66" i="5"/>
  <c r="AY66" i="5" s="1"/>
  <c r="AV103" i="5"/>
  <c r="M77" i="5"/>
  <c r="T39" i="5"/>
  <c r="AP112" i="5"/>
  <c r="AR112" i="5" s="1"/>
  <c r="G16" i="5"/>
  <c r="I16" i="5" s="1"/>
  <c r="AO7" i="5"/>
  <c r="AV25" i="5"/>
  <c r="AO133" i="5"/>
  <c r="AP31" i="5"/>
  <c r="AR31" i="5" s="1"/>
  <c r="M5" i="5"/>
  <c r="AV46" i="5"/>
  <c r="AH3" i="5"/>
  <c r="T90" i="5"/>
  <c r="AO39" i="5"/>
  <c r="AI45" i="5"/>
  <c r="AK45" i="5" s="1"/>
  <c r="N82" i="5"/>
  <c r="P82" i="5" s="1"/>
  <c r="AH78" i="5"/>
  <c r="U110" i="5"/>
  <c r="W110" i="5" s="1"/>
  <c r="AH20" i="5"/>
  <c r="AB49" i="5"/>
  <c r="AD49" i="5" s="1"/>
  <c r="G79" i="5"/>
  <c r="I79" i="5" s="1"/>
  <c r="AI52" i="5"/>
  <c r="AK52" i="5" s="1"/>
  <c r="AW4" i="5"/>
  <c r="AY4" i="5" s="1"/>
  <c r="M89" i="5"/>
  <c r="AO15" i="5"/>
  <c r="M135" i="5"/>
  <c r="N11" i="5"/>
  <c r="P11" i="5" s="1"/>
  <c r="AO73" i="5"/>
  <c r="BI59" i="5"/>
  <c r="M37" i="5"/>
  <c r="AV113" i="5"/>
  <c r="AW85" i="5"/>
  <c r="AY85" i="5" s="1"/>
  <c r="AP96" i="5"/>
  <c r="AR96" i="5" s="1"/>
  <c r="M8" i="5"/>
  <c r="BI53" i="5"/>
  <c r="AH71" i="5"/>
  <c r="AO18" i="5"/>
  <c r="AO77" i="5"/>
  <c r="AB122" i="5"/>
  <c r="AD122" i="5" s="1"/>
  <c r="AA12" i="5"/>
  <c r="BI98" i="5"/>
  <c r="U19" i="5"/>
  <c r="W19" i="5" s="1"/>
  <c r="AI48" i="5"/>
  <c r="AK48" i="5" s="1"/>
  <c r="BI30" i="5"/>
  <c r="G113" i="5"/>
  <c r="I113" i="5" s="1"/>
  <c r="M101" i="5"/>
  <c r="BI111" i="5"/>
  <c r="AA91" i="5"/>
  <c r="M43" i="5"/>
  <c r="AO14" i="5"/>
  <c r="N18" i="5"/>
  <c r="P18" i="5" s="1"/>
  <c r="F9" i="5"/>
  <c r="G72" i="5"/>
  <c r="I72" i="5" s="1"/>
  <c r="AI120" i="5"/>
  <c r="AK120" i="5" s="1"/>
  <c r="AW102" i="5"/>
  <c r="AY102" i="5" s="1"/>
  <c r="BI8" i="5"/>
  <c r="U25" i="5"/>
  <c r="W25" i="5" s="1"/>
  <c r="AH135" i="5"/>
  <c r="AI13" i="5"/>
  <c r="AK13" i="5" s="1"/>
  <c r="AH50" i="5"/>
  <c r="AH64" i="5"/>
  <c r="AP131" i="5"/>
  <c r="AR131" i="5" s="1"/>
  <c r="N129" i="5"/>
  <c r="P129" i="5" s="1"/>
  <c r="U122" i="5"/>
  <c r="W122" i="5" s="1"/>
  <c r="N34" i="5"/>
  <c r="P34" i="5" s="1"/>
  <c r="AI56" i="5"/>
  <c r="AK56" i="5" s="1"/>
  <c r="M22" i="5"/>
  <c r="BD34" i="5"/>
  <c r="BF34" i="5" s="1"/>
  <c r="AO114" i="5"/>
  <c r="AB79" i="5"/>
  <c r="AD79" i="5" s="1"/>
  <c r="T112" i="5"/>
  <c r="M25" i="5"/>
  <c r="F61" i="5"/>
  <c r="AB90" i="5"/>
  <c r="AD90" i="5" s="1"/>
  <c r="AI35" i="5"/>
  <c r="AK35" i="5" s="1"/>
  <c r="BC61" i="5"/>
  <c r="AV11" i="5"/>
  <c r="BD122" i="5"/>
  <c r="BF122" i="5" s="1"/>
  <c r="BC122" i="5"/>
  <c r="BD105" i="5"/>
  <c r="BF105" i="5" s="1"/>
  <c r="BC105" i="5"/>
  <c r="U62" i="5"/>
  <c r="W62" i="5" s="1"/>
  <c r="T62" i="5"/>
  <c r="AB43" i="5"/>
  <c r="AD43" i="5" s="1"/>
  <c r="AA43" i="5"/>
  <c r="AH34" i="5"/>
  <c r="AI34" i="5"/>
  <c r="AK34" i="5" s="1"/>
  <c r="AO103" i="5"/>
  <c r="AP103" i="5"/>
  <c r="AR103" i="5" s="1"/>
  <c r="AB70" i="5"/>
  <c r="AD70" i="5" s="1"/>
  <c r="AA70" i="5"/>
  <c r="U38" i="5"/>
  <c r="W38" i="5" s="1"/>
  <c r="T38" i="5"/>
  <c r="AV3" i="5"/>
  <c r="AW3" i="5"/>
  <c r="AY3" i="5" s="1"/>
  <c r="AB135" i="5"/>
  <c r="AD135" i="5" s="1"/>
  <c r="AA135" i="5"/>
  <c r="T73" i="5"/>
  <c r="U73" i="5"/>
  <c r="W73" i="5" s="1"/>
  <c r="N75" i="5"/>
  <c r="P75" i="5" s="1"/>
  <c r="M75" i="5"/>
  <c r="AP110" i="5"/>
  <c r="AR110" i="5" s="1"/>
  <c r="AO110" i="5"/>
  <c r="AI112" i="5"/>
  <c r="AK112" i="5" s="1"/>
  <c r="AH112" i="5"/>
  <c r="AP52" i="5"/>
  <c r="AR52" i="5" s="1"/>
  <c r="G32" i="5"/>
  <c r="I32" i="5" s="1"/>
  <c r="M40" i="5"/>
  <c r="N59" i="5"/>
  <c r="P59" i="5" s="1"/>
  <c r="F75" i="5"/>
  <c r="AI8" i="5"/>
  <c r="AK8" i="5" s="1"/>
  <c r="AH8" i="5"/>
  <c r="AH77" i="5"/>
  <c r="AI77" i="5"/>
  <c r="AK77" i="5" s="1"/>
  <c r="AH134" i="5"/>
  <c r="AI134" i="5"/>
  <c r="AK134" i="5" s="1"/>
  <c r="AP83" i="5"/>
  <c r="AR83" i="5" s="1"/>
  <c r="AO83" i="5"/>
  <c r="AP74" i="5"/>
  <c r="AR74" i="5" s="1"/>
  <c r="AO74" i="5"/>
  <c r="AA58" i="5"/>
  <c r="AB58" i="5"/>
  <c r="AD58" i="5" s="1"/>
  <c r="AP76" i="5"/>
  <c r="AR76" i="5" s="1"/>
  <c r="AO76" i="5"/>
  <c r="T15" i="5"/>
  <c r="U15" i="5"/>
  <c r="W15" i="5" s="1"/>
  <c r="AI90" i="5"/>
  <c r="AK90" i="5" s="1"/>
  <c r="AH90" i="5"/>
  <c r="AA99" i="5"/>
  <c r="AB99" i="5"/>
  <c r="AD99" i="5" s="1"/>
  <c r="AB129" i="5"/>
  <c r="AD129" i="5" s="1"/>
  <c r="AP108" i="5"/>
  <c r="AR108" i="5" s="1"/>
  <c r="AA56" i="5"/>
  <c r="BD84" i="5"/>
  <c r="BF84" i="5" s="1"/>
  <c r="AW61" i="5"/>
  <c r="AY61" i="5" s="1"/>
  <c r="G45" i="5"/>
  <c r="U104" i="5"/>
  <c r="W104" i="5" s="1"/>
  <c r="AV32" i="5"/>
  <c r="AW32" i="5"/>
  <c r="AY32" i="5" s="1"/>
  <c r="AP111" i="5"/>
  <c r="AR111" i="5" s="1"/>
  <c r="AO111" i="5"/>
  <c r="U74" i="5"/>
  <c r="W74" i="5" s="1"/>
  <c r="T74" i="5"/>
  <c r="AW52" i="5"/>
  <c r="AY52" i="5" s="1"/>
  <c r="AV52" i="5"/>
  <c r="T95" i="5"/>
  <c r="U95" i="5"/>
  <c r="W95" i="5" s="1"/>
  <c r="AB108" i="5"/>
  <c r="AD108" i="5" s="1"/>
  <c r="AA108" i="5"/>
  <c r="BD114" i="5"/>
  <c r="BF114" i="5" s="1"/>
  <c r="BC114" i="5"/>
  <c r="F33" i="5"/>
  <c r="AA31" i="5"/>
  <c r="AH92" i="5"/>
  <c r="U133" i="5"/>
  <c r="W133" i="5" s="1"/>
  <c r="T133" i="5"/>
  <c r="AB42" i="5"/>
  <c r="AD42" i="5" s="1"/>
  <c r="AA42" i="5"/>
  <c r="AA24" i="5"/>
  <c r="AB24" i="5"/>
  <c r="AD24" i="5" s="1"/>
  <c r="M120" i="5"/>
  <c r="N16" i="5"/>
  <c r="P16" i="5" s="1"/>
  <c r="N98" i="5"/>
  <c r="P98" i="5" s="1"/>
  <c r="M98" i="5"/>
  <c r="T126" i="5"/>
  <c r="U126" i="5"/>
  <c r="W126" i="5" s="1"/>
  <c r="AB125" i="5"/>
  <c r="AD125" i="5" s="1"/>
  <c r="AA125" i="5"/>
  <c r="AB21" i="5"/>
  <c r="AD21" i="5" s="1"/>
  <c r="AA21" i="5"/>
  <c r="BD23" i="5"/>
  <c r="BF23" i="5" s="1"/>
  <c r="BC23" i="5"/>
  <c r="AP120" i="5"/>
  <c r="AR120" i="5" s="1"/>
  <c r="AO120" i="5"/>
  <c r="AP26" i="5"/>
  <c r="AR26" i="5" s="1"/>
  <c r="AO26" i="5"/>
  <c r="AA123" i="5"/>
  <c r="BD87" i="5"/>
  <c r="BF87" i="5" s="1"/>
  <c r="N106" i="5"/>
  <c r="P106" i="5" s="1"/>
  <c r="AW30" i="5"/>
  <c r="AY30" i="5" s="1"/>
  <c r="AP42" i="5"/>
  <c r="AR42" i="5" s="1"/>
  <c r="F24" i="5"/>
  <c r="BI43" i="5"/>
  <c r="U12" i="5"/>
  <c r="W12" i="5" s="1"/>
  <c r="T12" i="5"/>
  <c r="BI83" i="5"/>
  <c r="BC104" i="5"/>
  <c r="AA51" i="5"/>
  <c r="AO48" i="5"/>
  <c r="M78" i="5"/>
  <c r="BI63" i="5"/>
  <c r="AO80" i="5"/>
  <c r="M6" i="5"/>
  <c r="M42" i="5"/>
  <c r="AB47" i="5"/>
  <c r="AD47" i="5" s="1"/>
  <c r="U6" i="5"/>
  <c r="W6" i="5" s="1"/>
  <c r="M73" i="5"/>
  <c r="BI109" i="5"/>
  <c r="M7" i="5"/>
  <c r="T69" i="5"/>
  <c r="AP101" i="5"/>
  <c r="AR101" i="5" s="1"/>
  <c r="F92" i="5"/>
  <c r="AA20" i="5"/>
  <c r="N96" i="5"/>
  <c r="P96" i="5" s="1"/>
  <c r="AH76" i="5"/>
  <c r="N72" i="5"/>
  <c r="P72" i="5" s="1"/>
  <c r="AH93" i="5"/>
  <c r="AV82" i="5"/>
  <c r="BC8" i="5"/>
  <c r="BC20" i="5"/>
  <c r="AW88" i="5"/>
  <c r="AY88" i="5" s="1"/>
  <c r="U98" i="5"/>
  <c r="W98" i="5" s="1"/>
  <c r="M117" i="5"/>
  <c r="BD88" i="5"/>
  <c r="BF88" i="5" s="1"/>
  <c r="BI11" i="5"/>
  <c r="F133" i="5"/>
  <c r="AV132" i="5"/>
  <c r="N55" i="5"/>
  <c r="P55" i="5" s="1"/>
  <c r="BI103" i="5"/>
  <c r="G63" i="5"/>
  <c r="I63" i="5" s="1"/>
  <c r="AP63" i="5"/>
  <c r="AR63" i="5" s="1"/>
  <c r="BC119" i="5"/>
  <c r="AV68" i="5"/>
  <c r="BI40" i="5"/>
  <c r="AP37" i="5"/>
  <c r="AR37" i="5" s="1"/>
  <c r="AH58" i="5"/>
  <c r="M99" i="5"/>
  <c r="BD133" i="5"/>
  <c r="BF133" i="5" s="1"/>
  <c r="G135" i="5"/>
  <c r="I135" i="5" s="1"/>
  <c r="AH10" i="5"/>
  <c r="BC75" i="5"/>
  <c r="T28" i="5"/>
  <c r="M39" i="5"/>
  <c r="BI102" i="5"/>
  <c r="T123" i="5"/>
  <c r="N128" i="5"/>
  <c r="P128" i="5" s="1"/>
  <c r="T57" i="5"/>
  <c r="AV35" i="5"/>
  <c r="AA67" i="5"/>
  <c r="AP86" i="5"/>
  <c r="AR86" i="5" s="1"/>
  <c r="BI21" i="5"/>
  <c r="BI114" i="5"/>
  <c r="AH113" i="5"/>
  <c r="AA37" i="5"/>
  <c r="BI25" i="5"/>
  <c r="T41" i="5"/>
  <c r="AA25" i="5"/>
  <c r="T8" i="5"/>
  <c r="AA74" i="5"/>
  <c r="T89" i="5"/>
  <c r="AP128" i="5"/>
  <c r="AR128" i="5" s="1"/>
  <c r="AH131" i="5"/>
  <c r="AB55" i="5"/>
  <c r="AD55" i="5" s="1"/>
  <c r="T135" i="5"/>
  <c r="AA133" i="5"/>
  <c r="F93" i="5"/>
  <c r="AV71" i="5"/>
  <c r="M94" i="5"/>
  <c r="AV101" i="5"/>
  <c r="T78" i="5"/>
  <c r="BC129" i="5"/>
  <c r="F95" i="5"/>
  <c r="AH79" i="5"/>
  <c r="AO84" i="5"/>
  <c r="AO10" i="5"/>
  <c r="AH19" i="5"/>
  <c r="F132" i="5"/>
  <c r="N130" i="5"/>
  <c r="P130" i="5" s="1"/>
  <c r="AP127" i="5"/>
  <c r="AR127" i="5" s="1"/>
  <c r="AI57" i="5"/>
  <c r="AK57" i="5" s="1"/>
  <c r="AO12" i="5"/>
  <c r="AB34" i="5"/>
  <c r="AD34" i="5" s="1"/>
  <c r="AB66" i="5"/>
  <c r="AD66" i="5" s="1"/>
  <c r="AV83" i="5"/>
  <c r="BI85" i="5"/>
  <c r="U10" i="5"/>
  <c r="W10" i="5" s="1"/>
  <c r="M104" i="5"/>
  <c r="AO11" i="5"/>
  <c r="F83" i="5"/>
  <c r="AB78" i="5"/>
  <c r="AD78" i="5" s="1"/>
  <c r="AH44" i="5"/>
  <c r="F127" i="5"/>
  <c r="AO116" i="5"/>
  <c r="BI48" i="5"/>
  <c r="M49" i="5"/>
  <c r="AW16" i="5"/>
  <c r="AY16" i="5" s="1"/>
  <c r="N41" i="5"/>
  <c r="P41" i="5" s="1"/>
  <c r="AA36" i="5"/>
  <c r="T72" i="5"/>
  <c r="M121" i="5"/>
  <c r="BC111" i="5"/>
  <c r="AH75" i="5"/>
  <c r="T9" i="5"/>
  <c r="BC7" i="5"/>
  <c r="M62" i="5"/>
  <c r="BC73" i="5"/>
  <c r="N68" i="5"/>
  <c r="P68" i="5" s="1"/>
  <c r="G88" i="5"/>
  <c r="I88" i="5" s="1"/>
  <c r="AA117" i="5"/>
  <c r="G126" i="5"/>
  <c r="I126" i="5" s="1"/>
  <c r="M50" i="5"/>
  <c r="AO115" i="5"/>
  <c r="AV43" i="5"/>
  <c r="AW91" i="5"/>
  <c r="AY91" i="5" s="1"/>
  <c r="F3" i="5"/>
  <c r="F110" i="5"/>
  <c r="BC92" i="5"/>
  <c r="F64" i="5"/>
  <c r="AI18" i="5"/>
  <c r="AK18" i="5" s="1"/>
  <c r="AV40" i="5"/>
  <c r="AA92" i="5"/>
  <c r="AH74" i="5"/>
  <c r="AO29" i="5"/>
  <c r="AH49" i="5"/>
  <c r="AO8" i="5"/>
  <c r="AO75" i="5"/>
  <c r="G34" i="5"/>
  <c r="AV133" i="5"/>
  <c r="AH87" i="5"/>
  <c r="U34" i="5"/>
  <c r="W34" i="5" s="1"/>
  <c r="AB52" i="5"/>
  <c r="AD52" i="5" s="1"/>
  <c r="M32" i="5"/>
  <c r="BC80" i="5"/>
  <c r="BI46" i="5"/>
  <c r="AI121" i="5"/>
  <c r="AK121" i="5" s="1"/>
  <c r="AP24" i="5"/>
  <c r="AR24" i="5" s="1"/>
  <c r="BI29" i="5"/>
  <c r="U42" i="5"/>
  <c r="W42" i="5" s="1"/>
  <c r="AV38" i="5"/>
  <c r="BC26" i="5"/>
  <c r="AV87" i="5"/>
  <c r="G11" i="5"/>
  <c r="I11" i="5" s="1"/>
  <c r="N19" i="5"/>
  <c r="P19" i="5" s="1"/>
  <c r="AH103" i="5"/>
  <c r="N44" i="5"/>
  <c r="P44" i="5" s="1"/>
  <c r="AA69" i="5"/>
  <c r="U121" i="5"/>
  <c r="W121" i="5" s="1"/>
  <c r="AP19" i="5"/>
  <c r="AR19" i="5" s="1"/>
  <c r="AO105" i="5"/>
  <c r="F84" i="5"/>
  <c r="AV56" i="5"/>
  <c r="N51" i="5"/>
  <c r="P51" i="5" s="1"/>
  <c r="AV19" i="5"/>
  <c r="AO78" i="5"/>
  <c r="BI45" i="5"/>
  <c r="AV127" i="5"/>
  <c r="T4" i="5"/>
  <c r="M80" i="5"/>
  <c r="BI41" i="5"/>
  <c r="AO36" i="5"/>
  <c r="AA101" i="5"/>
  <c r="AB27" i="5"/>
  <c r="AD27" i="5" s="1"/>
  <c r="AH72" i="5"/>
  <c r="AP38" i="5"/>
  <c r="AR38" i="5" s="1"/>
  <c r="AV58" i="5"/>
  <c r="T68" i="5"/>
  <c r="F6" i="5"/>
  <c r="BI9" i="5"/>
  <c r="AV15" i="5"/>
  <c r="N24" i="5"/>
  <c r="P24" i="5" s="1"/>
  <c r="BI16" i="5"/>
  <c r="BI89" i="5"/>
  <c r="AA68" i="5"/>
  <c r="AO125" i="5"/>
  <c r="N126" i="5"/>
  <c r="P126" i="5" s="1"/>
  <c r="AP35" i="5"/>
  <c r="AR35" i="5" s="1"/>
  <c r="AH116" i="5"/>
  <c r="BC10" i="5"/>
  <c r="BC21" i="5"/>
  <c r="AB6" i="5"/>
  <c r="AD6" i="5" s="1"/>
  <c r="AB100" i="5"/>
  <c r="AD100" i="5" s="1"/>
  <c r="M109" i="5"/>
  <c r="AP16" i="5"/>
  <c r="AR16" i="5" s="1"/>
  <c r="F40" i="5"/>
  <c r="T3" i="5"/>
  <c r="M15" i="5"/>
  <c r="F28" i="5"/>
  <c r="M30" i="5"/>
  <c r="AB131" i="5"/>
  <c r="AD131" i="5" s="1"/>
  <c r="AV57" i="5"/>
  <c r="AI98" i="5"/>
  <c r="AK98" i="5" s="1"/>
  <c r="AO123" i="5"/>
  <c r="U134" i="5"/>
  <c r="W134" i="5" s="1"/>
  <c r="AA130" i="5"/>
  <c r="U67" i="5"/>
  <c r="W67" i="5" s="1"/>
  <c r="T107" i="5"/>
  <c r="AH12" i="5"/>
  <c r="AH22" i="5"/>
  <c r="U88" i="5"/>
  <c r="W88" i="5" s="1"/>
  <c r="U55" i="5"/>
  <c r="W55" i="5" s="1"/>
  <c r="M21" i="5"/>
  <c r="BI84" i="5"/>
  <c r="M97" i="5"/>
  <c r="AI66" i="5"/>
  <c r="AK66" i="5" s="1"/>
  <c r="AB82" i="5"/>
  <c r="AD82" i="5" s="1"/>
  <c r="T96" i="5"/>
  <c r="AB72" i="5"/>
  <c r="AD72" i="5" s="1"/>
  <c r="F39" i="5"/>
  <c r="AH41" i="5"/>
  <c r="N38" i="5"/>
  <c r="P38" i="5" s="1"/>
  <c r="AP58" i="5"/>
  <c r="AR58" i="5" s="1"/>
  <c r="AV13" i="5"/>
  <c r="M45" i="5"/>
  <c r="AA44" i="5"/>
  <c r="T130" i="5"/>
  <c r="BI132" i="5"/>
  <c r="AP34" i="5"/>
  <c r="AR34" i="5" s="1"/>
  <c r="U63" i="5"/>
  <c r="W63" i="5" s="1"/>
  <c r="AO70" i="5"/>
  <c r="N100" i="5"/>
  <c r="P100" i="5" s="1"/>
  <c r="F58" i="5"/>
  <c r="AI60" i="5"/>
  <c r="AK60" i="5" s="1"/>
  <c r="AA76" i="5"/>
  <c r="AO60" i="5"/>
  <c r="M65" i="5"/>
  <c r="T82" i="5"/>
  <c r="AP82" i="5"/>
  <c r="AR82" i="5" s="1"/>
  <c r="U92" i="5"/>
  <c r="W92" i="5" s="1"/>
  <c r="AO91" i="5"/>
  <c r="AV69" i="5"/>
  <c r="AW126" i="5"/>
  <c r="AY126" i="5" s="1"/>
  <c r="AI17" i="5"/>
  <c r="AK17" i="5" s="1"/>
  <c r="BC123" i="5"/>
  <c r="BC78" i="5"/>
  <c r="BC70" i="5"/>
  <c r="T60" i="5"/>
  <c r="T58" i="5"/>
  <c r="AB88" i="5"/>
  <c r="AD88" i="5" s="1"/>
  <c r="AH107" i="5"/>
  <c r="BI118" i="5"/>
  <c r="G98" i="5"/>
  <c r="I98" i="5" s="1"/>
  <c r="BI33" i="5"/>
  <c r="AV97" i="5"/>
  <c r="T50" i="5"/>
  <c r="BI19" i="5"/>
  <c r="M84" i="5"/>
  <c r="BC17" i="5"/>
  <c r="G48" i="5"/>
  <c r="I48" i="5" s="1"/>
  <c r="AI31" i="5"/>
  <c r="AK31" i="5" s="1"/>
  <c r="T16" i="5"/>
  <c r="AV120" i="5"/>
  <c r="F15" i="5"/>
  <c r="N111" i="5"/>
  <c r="P111" i="5" s="1"/>
  <c r="BI27" i="5"/>
  <c r="BI92" i="5"/>
  <c r="AV135" i="5"/>
  <c r="AP132" i="5"/>
  <c r="AR132" i="5" s="1"/>
  <c r="BC108" i="5"/>
  <c r="AP51" i="5"/>
  <c r="AR51" i="5" s="1"/>
  <c r="AH63" i="5"/>
  <c r="F102" i="5"/>
  <c r="AP100" i="5"/>
  <c r="AR100" i="5" s="1"/>
  <c r="AH15" i="5"/>
  <c r="U75" i="5"/>
  <c r="W75" i="5" s="1"/>
  <c r="AI89" i="5"/>
  <c r="AK89" i="5" s="1"/>
  <c r="BC125" i="5"/>
  <c r="AI88" i="5"/>
  <c r="AK88" i="5" s="1"/>
  <c r="AA60" i="5"/>
  <c r="N57" i="5"/>
  <c r="P57" i="5" s="1"/>
  <c r="AW78" i="5"/>
  <c r="AY78" i="5" s="1"/>
  <c r="AV78" i="5"/>
  <c r="M83" i="5"/>
  <c r="BI86" i="5"/>
  <c r="BI121" i="5"/>
  <c r="AI7" i="5"/>
  <c r="AK7" i="5" s="1"/>
  <c r="AH7" i="5"/>
  <c r="BI71" i="5"/>
  <c r="AO9" i="5"/>
  <c r="AP9" i="5"/>
  <c r="AR9" i="5" s="1"/>
  <c r="AW37" i="5"/>
  <c r="AY37" i="5" s="1"/>
  <c r="AV37" i="5"/>
  <c r="G43" i="5"/>
  <c r="I43" i="5" s="1"/>
  <c r="F43" i="5"/>
  <c r="T11" i="5"/>
  <c r="U11" i="5"/>
  <c r="W11" i="5" s="1"/>
  <c r="AP30" i="5"/>
  <c r="AR30" i="5" s="1"/>
  <c r="AO30" i="5"/>
  <c r="N69" i="5"/>
  <c r="P69" i="5" s="1"/>
  <c r="M69" i="5"/>
  <c r="AH59" i="5"/>
  <c r="AI59" i="5"/>
  <c r="AK59" i="5" s="1"/>
  <c r="AH32" i="5"/>
  <c r="G120" i="5"/>
  <c r="I120" i="5" s="1"/>
  <c r="BI72" i="5"/>
  <c r="BI122" i="5"/>
  <c r="AH133" i="5"/>
  <c r="AO22" i="5"/>
  <c r="AW67" i="5"/>
  <c r="AY67" i="5" s="1"/>
  <c r="AV50" i="5"/>
  <c r="AB96" i="5"/>
  <c r="AD96" i="5" s="1"/>
  <c r="BI80" i="5"/>
  <c r="AH115" i="5"/>
  <c r="N31" i="5"/>
  <c r="P31" i="5" s="1"/>
  <c r="BI93" i="5"/>
  <c r="AO28" i="5"/>
  <c r="BI74" i="5"/>
  <c r="AI73" i="5"/>
  <c r="AK73" i="5" s="1"/>
  <c r="AH68" i="5"/>
  <c r="N63" i="5"/>
  <c r="P63" i="5" s="1"/>
  <c r="AA29" i="5"/>
  <c r="AO43" i="5"/>
  <c r="BI101" i="5"/>
  <c r="AP94" i="5"/>
  <c r="AR94" i="5" s="1"/>
  <c r="AO40" i="5"/>
  <c r="BI110" i="5"/>
  <c r="BC121" i="5"/>
  <c r="AA28" i="5"/>
  <c r="AV123" i="5"/>
  <c r="AV86" i="5"/>
  <c r="BI133" i="5"/>
  <c r="BI128" i="5"/>
  <c r="BI127" i="5"/>
  <c r="BD66" i="5"/>
  <c r="BF66" i="5" s="1"/>
  <c r="U22" i="5"/>
  <c r="W22" i="5" s="1"/>
  <c r="BI82" i="5"/>
  <c r="BI78" i="5"/>
  <c r="T127" i="5"/>
  <c r="BI15" i="5"/>
  <c r="BI36" i="5"/>
  <c r="AO25" i="5"/>
  <c r="BI100" i="5"/>
  <c r="BI90" i="5"/>
  <c r="AA89" i="5"/>
  <c r="AP68" i="5"/>
  <c r="AR68" i="5" s="1"/>
  <c r="BI125" i="5"/>
  <c r="BI134" i="5"/>
  <c r="BI124" i="5"/>
  <c r="BI73" i="5"/>
  <c r="BI91" i="5"/>
  <c r="BI104" i="5"/>
  <c r="N131" i="5"/>
  <c r="P131" i="5" s="1"/>
  <c r="AA127" i="5"/>
  <c r="BI35" i="5"/>
  <c r="AP85" i="5"/>
  <c r="AR85" i="5" s="1"/>
  <c r="BC63" i="5"/>
  <c r="AH127" i="5"/>
  <c r="BI44" i="5"/>
  <c r="AI102" i="5"/>
  <c r="AK102" i="5" s="1"/>
  <c r="U111" i="5"/>
  <c r="W111" i="5" s="1"/>
  <c r="AV92" i="5"/>
  <c r="BC42" i="5"/>
  <c r="BI75" i="5"/>
  <c r="AV89" i="5"/>
  <c r="AB132" i="5"/>
  <c r="AD132" i="5" s="1"/>
  <c r="BI130" i="5"/>
  <c r="AB35" i="5"/>
  <c r="AD35" i="5" s="1"/>
  <c r="BC22" i="5"/>
  <c r="BI20" i="5"/>
  <c r="BI52" i="5"/>
  <c r="M67" i="5"/>
  <c r="AV33" i="5"/>
  <c r="BI81" i="5"/>
  <c r="U48" i="5"/>
  <c r="W48" i="5" s="1"/>
  <c r="F30" i="5"/>
  <c r="BI17" i="5"/>
  <c r="U32" i="5"/>
  <c r="W32" i="5" s="1"/>
  <c r="AA94" i="5"/>
  <c r="AV75" i="5"/>
  <c r="BI42" i="5"/>
  <c r="AV41" i="5"/>
  <c r="AO89" i="5"/>
  <c r="U102" i="5"/>
  <c r="W102" i="5" s="1"/>
  <c r="BI120" i="5"/>
  <c r="AH25" i="5"/>
  <c r="AH123" i="5"/>
  <c r="BI129" i="5"/>
  <c r="M56" i="5"/>
  <c r="BI88" i="5"/>
  <c r="BI66" i="5"/>
  <c r="N52" i="5"/>
  <c r="P52" i="5" s="1"/>
  <c r="BI55" i="5"/>
  <c r="BI105" i="5"/>
  <c r="BI50" i="5"/>
  <c r="BI79" i="5"/>
  <c r="BI32" i="5"/>
  <c r="BI94" i="5"/>
  <c r="BI14" i="5"/>
  <c r="BI26" i="5"/>
  <c r="BI60" i="5"/>
  <c r="AI91" i="5"/>
  <c r="AK91" i="5" s="1"/>
  <c r="BI39" i="5"/>
  <c r="BI70" i="5"/>
  <c r="BI23" i="5"/>
  <c r="N13" i="5"/>
  <c r="P13" i="5" s="1"/>
  <c r="M13" i="5"/>
  <c r="BD54" i="5"/>
  <c r="BF54" i="5" s="1"/>
  <c r="BC54" i="5"/>
  <c r="AB54" i="5"/>
  <c r="AD54" i="5" s="1"/>
  <c r="AA54" i="5"/>
  <c r="BI126" i="5"/>
  <c r="U125" i="5"/>
  <c r="W125" i="5" s="1"/>
  <c r="T125" i="5"/>
  <c r="AB13" i="5"/>
  <c r="AD13" i="5" s="1"/>
  <c r="AA13" i="5"/>
  <c r="AO98" i="5"/>
  <c r="AP98" i="5"/>
  <c r="AR98" i="5" s="1"/>
  <c r="F55" i="5"/>
  <c r="G55" i="5"/>
  <c r="I55" i="5" s="1"/>
  <c r="AH96" i="5"/>
  <c r="AI96" i="5"/>
  <c r="AK96" i="5" s="1"/>
  <c r="N33" i="5"/>
  <c r="P33" i="5" s="1"/>
  <c r="M33" i="5"/>
  <c r="BD81" i="5"/>
  <c r="BF81" i="5" s="1"/>
  <c r="BC81" i="5"/>
  <c r="M95" i="5"/>
  <c r="N95" i="5"/>
  <c r="P95" i="5" s="1"/>
  <c r="N115" i="5"/>
  <c r="P115" i="5" s="1"/>
  <c r="M115" i="5"/>
  <c r="N103" i="5"/>
  <c r="P103" i="5" s="1"/>
  <c r="M103" i="5"/>
  <c r="F5" i="5"/>
  <c r="G5" i="5"/>
  <c r="M113" i="5"/>
  <c r="N113" i="5"/>
  <c r="P113" i="5" s="1"/>
  <c r="AA41" i="5"/>
  <c r="AB41" i="5"/>
  <c r="AD41" i="5" s="1"/>
  <c r="M76" i="5"/>
  <c r="N76" i="5"/>
  <c r="P76" i="5" s="1"/>
  <c r="AA113" i="5"/>
  <c r="AB113" i="5"/>
  <c r="AD113" i="5" s="1"/>
  <c r="T91" i="5"/>
  <c r="U91" i="5"/>
  <c r="W91" i="5" s="1"/>
  <c r="AB109" i="5"/>
  <c r="AD109" i="5" s="1"/>
  <c r="AA109" i="5"/>
  <c r="AP69" i="5"/>
  <c r="AR69" i="5" s="1"/>
  <c r="AO69" i="5"/>
  <c r="G76" i="5"/>
  <c r="I76" i="5" s="1"/>
  <c r="F76" i="5"/>
  <c r="AI125" i="5"/>
  <c r="AK125" i="5" s="1"/>
  <c r="AH125" i="5"/>
  <c r="M35" i="5"/>
  <c r="N35" i="5"/>
  <c r="P35" i="5" s="1"/>
  <c r="AW54" i="5"/>
  <c r="AY54" i="5" s="1"/>
  <c r="AV54" i="5"/>
  <c r="U54" i="5"/>
  <c r="W54" i="5" s="1"/>
  <c r="T54" i="5"/>
  <c r="F96" i="5"/>
  <c r="G96" i="5"/>
  <c r="I96" i="5" s="1"/>
  <c r="U49" i="5"/>
  <c r="W49" i="5" s="1"/>
  <c r="T49" i="5"/>
  <c r="AA19" i="5"/>
  <c r="AB19" i="5"/>
  <c r="AD19" i="5" s="1"/>
  <c r="F114" i="5"/>
  <c r="G114" i="5"/>
  <c r="I114" i="5" s="1"/>
  <c r="AV5" i="5"/>
  <c r="AW5" i="5"/>
  <c r="AY5" i="5" s="1"/>
  <c r="AW94" i="5"/>
  <c r="AY94" i="5" s="1"/>
  <c r="AV94" i="5"/>
  <c r="U29" i="5"/>
  <c r="W29" i="5" s="1"/>
  <c r="T29" i="5"/>
  <c r="M9" i="5"/>
  <c r="N9" i="5"/>
  <c r="P9" i="5" s="1"/>
  <c r="AW29" i="5"/>
  <c r="AY29" i="5" s="1"/>
  <c r="AV29" i="5"/>
  <c r="AW28" i="5"/>
  <c r="AY28" i="5" s="1"/>
  <c r="AV28" i="5"/>
  <c r="U7" i="5"/>
  <c r="W7" i="5" s="1"/>
  <c r="T7" i="5"/>
  <c r="AB45" i="5"/>
  <c r="AD45" i="5" s="1"/>
  <c r="AA45" i="5"/>
  <c r="G101" i="5"/>
  <c r="I101" i="5" s="1"/>
  <c r="F101" i="5"/>
  <c r="BI131" i="5"/>
  <c r="BI116" i="5"/>
  <c r="BI47" i="5"/>
  <c r="AW122" i="5"/>
  <c r="AY122" i="5" s="1"/>
  <c r="AV122" i="5"/>
  <c r="M88" i="5"/>
  <c r="N88" i="5"/>
  <c r="P88" i="5" s="1"/>
  <c r="F35" i="5"/>
  <c r="G35" i="5"/>
  <c r="I35" i="5" s="1"/>
  <c r="AP54" i="5"/>
  <c r="AR54" i="5" s="1"/>
  <c r="AO54" i="5"/>
  <c r="N54" i="5"/>
  <c r="P54" i="5" s="1"/>
  <c r="M54" i="5"/>
  <c r="AW125" i="5"/>
  <c r="AY125" i="5" s="1"/>
  <c r="AV125" i="5"/>
  <c r="AO88" i="5"/>
  <c r="AP88" i="5"/>
  <c r="AR88" i="5" s="1"/>
  <c r="G107" i="5"/>
  <c r="I107" i="5" s="1"/>
  <c r="F107" i="5"/>
  <c r="AP50" i="5"/>
  <c r="AR50" i="5" s="1"/>
  <c r="AO50" i="5"/>
  <c r="BD13" i="5"/>
  <c r="BF13" i="5" s="1"/>
  <c r="BC13" i="5"/>
  <c r="AB115" i="5"/>
  <c r="AD115" i="5" s="1"/>
  <c r="AA115" i="5"/>
  <c r="AB81" i="5"/>
  <c r="AD81" i="5" s="1"/>
  <c r="AA81" i="5"/>
  <c r="AW49" i="5"/>
  <c r="AY49" i="5" s="1"/>
  <c r="AV49" i="5"/>
  <c r="AH5" i="5"/>
  <c r="AI5" i="5"/>
  <c r="AK5" i="5" s="1"/>
  <c r="AB30" i="5"/>
  <c r="AD30" i="5" s="1"/>
  <c r="AA30" i="5"/>
  <c r="G46" i="5"/>
  <c r="I46" i="5" s="1"/>
  <c r="F46" i="5"/>
  <c r="AP44" i="5"/>
  <c r="AR44" i="5" s="1"/>
  <c r="AO44" i="5"/>
  <c r="AA61" i="5"/>
  <c r="AB61" i="5"/>
  <c r="AD61" i="5" s="1"/>
  <c r="AI46" i="5"/>
  <c r="AK46" i="5" s="1"/>
  <c r="AH46" i="5"/>
  <c r="AV45" i="5"/>
  <c r="AW45" i="5"/>
  <c r="AY45" i="5" s="1"/>
  <c r="AV17" i="5"/>
  <c r="AW17" i="5"/>
  <c r="AY17" i="5" s="1"/>
  <c r="AA38" i="5"/>
  <c r="AB38" i="5"/>
  <c r="AD38" i="5" s="1"/>
  <c r="U37" i="5"/>
  <c r="W37" i="5" s="1"/>
  <c r="T37" i="5"/>
  <c r="BI119" i="5"/>
  <c r="AB75" i="5"/>
  <c r="AD75" i="5" s="1"/>
  <c r="AA75" i="5"/>
  <c r="BD60" i="5"/>
  <c r="BF60" i="5" s="1"/>
  <c r="BC60" i="5"/>
  <c r="AH14" i="5"/>
  <c r="AI14" i="5"/>
  <c r="AK14" i="5" s="1"/>
  <c r="AI37" i="5"/>
  <c r="AK37" i="5" s="1"/>
  <c r="AH37" i="5"/>
  <c r="AI43" i="5"/>
  <c r="AK43" i="5" s="1"/>
  <c r="AH43" i="5"/>
  <c r="BI117" i="5"/>
  <c r="BI58" i="5"/>
  <c r="M132" i="5"/>
  <c r="N132" i="5"/>
  <c r="P132" i="5" s="1"/>
  <c r="BC126" i="5"/>
  <c r="BD126" i="5"/>
  <c r="G125" i="5"/>
  <c r="F125" i="5"/>
  <c r="T108" i="5"/>
  <c r="U108" i="5"/>
  <c r="W108" i="5" s="1"/>
  <c r="AP13" i="5"/>
  <c r="AR13" i="5" s="1"/>
  <c r="AO13" i="5"/>
  <c r="AB118" i="5"/>
  <c r="AD118" i="5" s="1"/>
  <c r="AA118" i="5"/>
  <c r="AH55" i="5"/>
  <c r="AI55" i="5"/>
  <c r="AK55" i="5" s="1"/>
  <c r="AI54" i="5"/>
  <c r="AK54" i="5" s="1"/>
  <c r="AH54" i="5"/>
  <c r="G54" i="5"/>
  <c r="F54" i="5"/>
  <c r="T128" i="5"/>
  <c r="U128" i="5"/>
  <c r="W128" i="5" s="1"/>
  <c r="AO57" i="5"/>
  <c r="AP57" i="5"/>
  <c r="AR57" i="5" s="1"/>
  <c r="BD117" i="5"/>
  <c r="BF117" i="5" s="1"/>
  <c r="BC117" i="5"/>
  <c r="AI106" i="5"/>
  <c r="AK106" i="5" s="1"/>
  <c r="AH106" i="5"/>
  <c r="AP33" i="5"/>
  <c r="AR33" i="5" s="1"/>
  <c r="AO33" i="5"/>
  <c r="AA95" i="5"/>
  <c r="AB95" i="5"/>
  <c r="AD95" i="5" s="1"/>
  <c r="BI34" i="5"/>
  <c r="BD47" i="5"/>
  <c r="BF47" i="5" s="1"/>
  <c r="BC47" i="5"/>
  <c r="AO95" i="5"/>
  <c r="AP95" i="5"/>
  <c r="AR95" i="5" s="1"/>
  <c r="T5" i="5"/>
  <c r="U5" i="5"/>
  <c r="W5" i="5" s="1"/>
  <c r="AO113" i="5"/>
  <c r="AP113" i="5"/>
  <c r="AR113" i="5" s="1"/>
  <c r="U17" i="5"/>
  <c r="W17" i="5" s="1"/>
  <c r="T17" i="5"/>
  <c r="T45" i="5"/>
  <c r="U45" i="5"/>
  <c r="W45" i="5" s="1"/>
  <c r="U93" i="5"/>
  <c r="W93" i="5" s="1"/>
  <c r="T93" i="5"/>
  <c r="AH42" i="5"/>
  <c r="AI42" i="5"/>
  <c r="AK42" i="5" s="1"/>
  <c r="M27" i="5"/>
  <c r="N27" i="5"/>
  <c r="P27" i="5" s="1"/>
  <c r="AO72" i="5"/>
  <c r="AP72" i="5"/>
  <c r="AR72" i="5" s="1"/>
  <c r="I45" i="5"/>
  <c r="F112" i="5"/>
  <c r="G112" i="5"/>
  <c r="I112" i="5" s="1"/>
  <c r="AP92" i="5"/>
  <c r="AR92" i="5" s="1"/>
  <c r="AO92" i="5"/>
  <c r="AO27" i="5"/>
  <c r="AP27" i="5"/>
  <c r="AR27" i="5" s="1"/>
  <c r="AP109" i="5"/>
  <c r="AR109" i="5" s="1"/>
  <c r="AO109" i="5"/>
  <c r="AW93" i="5"/>
  <c r="AY93" i="5" s="1"/>
  <c r="AV93" i="5"/>
  <c r="M85" i="5"/>
  <c r="N85" i="5"/>
  <c r="P85" i="5" s="1"/>
  <c r="AH21" i="5"/>
  <c r="AI21" i="5"/>
  <c r="AK21" i="5" s="1"/>
  <c r="AP53" i="5"/>
  <c r="AR53" i="5" s="1"/>
  <c r="AO53" i="5"/>
  <c r="U65" i="5"/>
  <c r="W65" i="5" s="1"/>
  <c r="T65" i="5"/>
  <c r="AH105" i="5"/>
  <c r="AI105" i="5"/>
  <c r="AK105" i="5" s="1"/>
  <c r="AW20" i="5"/>
  <c r="AY20" i="5" s="1"/>
  <c r="AV20" i="5"/>
  <c r="AB50" i="5"/>
  <c r="AA50" i="5"/>
  <c r="AW79" i="5"/>
  <c r="AY79" i="5" s="1"/>
  <c r="AV79" i="5"/>
  <c r="BC4" i="5"/>
  <c r="BD4" i="5"/>
  <c r="BF4" i="5" s="1"/>
  <c r="AA64" i="5"/>
  <c r="AB64" i="5"/>
  <c r="AD64" i="5" s="1"/>
  <c r="I30" i="5"/>
  <c r="G62" i="5"/>
  <c r="F62" i="5"/>
  <c r="I127" i="5"/>
  <c r="BI51" i="5"/>
  <c r="F17" i="5"/>
  <c r="G17" i="5"/>
  <c r="F14" i="5"/>
  <c r="G14" i="5"/>
  <c r="AH36" i="5"/>
  <c r="AI36" i="5"/>
  <c r="AK36" i="5" s="1"/>
  <c r="T129" i="5"/>
  <c r="U129" i="5"/>
  <c r="W129" i="5" s="1"/>
  <c r="AI118" i="5"/>
  <c r="AK118" i="5" s="1"/>
  <c r="AH118" i="5"/>
  <c r="F124" i="5"/>
  <c r="G124" i="5"/>
  <c r="BC106" i="5"/>
  <c r="BD106" i="5"/>
  <c r="BF106" i="5" s="1"/>
  <c r="G22" i="5"/>
  <c r="F22" i="5"/>
  <c r="G12" i="5"/>
  <c r="F12" i="5"/>
  <c r="G117" i="5"/>
  <c r="F117" i="5"/>
  <c r="BD98" i="5"/>
  <c r="BF98" i="5" s="1"/>
  <c r="BC98" i="5"/>
  <c r="AW22" i="5"/>
  <c r="AY22" i="5" s="1"/>
  <c r="AV22" i="5"/>
  <c r="BD97" i="5"/>
  <c r="BF97" i="5" s="1"/>
  <c r="BC97" i="5"/>
  <c r="AI84" i="5"/>
  <c r="AK84" i="5" s="1"/>
  <c r="AH84" i="5"/>
  <c r="AV55" i="5"/>
  <c r="AW55" i="5"/>
  <c r="AY55" i="5" s="1"/>
  <c r="F21" i="5"/>
  <c r="G21" i="5"/>
  <c r="N53" i="5"/>
  <c r="P53" i="5" s="1"/>
  <c r="M53" i="5"/>
  <c r="AW65" i="5"/>
  <c r="AY65" i="5" s="1"/>
  <c r="AV65" i="5"/>
  <c r="F105" i="5"/>
  <c r="G105" i="5"/>
  <c r="F82" i="5"/>
  <c r="G82" i="5"/>
  <c r="G10" i="5"/>
  <c r="F10" i="5"/>
  <c r="I95" i="5"/>
  <c r="G49" i="5"/>
  <c r="F49" i="5"/>
  <c r="AV63" i="5"/>
  <c r="AW63" i="5"/>
  <c r="AY63" i="5" s="1"/>
  <c r="BC116" i="5"/>
  <c r="BD116" i="5"/>
  <c r="BF116" i="5" s="1"/>
  <c r="BC96" i="5"/>
  <c r="BD96" i="5"/>
  <c r="BF96" i="5" s="1"/>
  <c r="BC82" i="5"/>
  <c r="BD82" i="5"/>
  <c r="BF82" i="5" s="1"/>
  <c r="T81" i="5"/>
  <c r="U81" i="5"/>
  <c r="W81" i="5" s="1"/>
  <c r="AO47" i="5"/>
  <c r="AP47" i="5"/>
  <c r="AR47" i="5" s="1"/>
  <c r="BI64" i="5"/>
  <c r="U114" i="5"/>
  <c r="W114" i="5" s="1"/>
  <c r="T114" i="5"/>
  <c r="I33" i="5"/>
  <c r="BI113" i="5"/>
  <c r="BI76" i="5"/>
  <c r="M79" i="5"/>
  <c r="N79" i="5"/>
  <c r="P79" i="5" s="1"/>
  <c r="BC124" i="5"/>
  <c r="BD124" i="5"/>
  <c r="BF124" i="5" s="1"/>
  <c r="I19" i="5"/>
  <c r="BC31" i="5"/>
  <c r="BD31" i="5"/>
  <c r="BF31" i="5" s="1"/>
  <c r="AO46" i="5"/>
  <c r="AP46" i="5"/>
  <c r="AR46" i="5" s="1"/>
  <c r="F78" i="5"/>
  <c r="G78" i="5"/>
  <c r="BC93" i="5"/>
  <c r="BD93" i="5"/>
  <c r="BF93" i="5" s="1"/>
  <c r="M93" i="5"/>
  <c r="N93" i="5"/>
  <c r="G29" i="5"/>
  <c r="F29" i="5"/>
  <c r="I18" i="5"/>
  <c r="BI77" i="5"/>
  <c r="AV112" i="5"/>
  <c r="AW112" i="5"/>
  <c r="AY112" i="5" s="1"/>
  <c r="F111" i="5"/>
  <c r="G111" i="5"/>
  <c r="BD74" i="5"/>
  <c r="BF74" i="5" s="1"/>
  <c r="BC74" i="5"/>
  <c r="BC41" i="5"/>
  <c r="BD41" i="5"/>
  <c r="BF41" i="5" s="1"/>
  <c r="F26" i="5"/>
  <c r="G26" i="5"/>
  <c r="F36" i="5"/>
  <c r="G36" i="5"/>
  <c r="BI3" i="5"/>
  <c r="I15" i="5"/>
  <c r="I41" i="5"/>
  <c r="AA71" i="5"/>
  <c r="AB71" i="5"/>
  <c r="AD71" i="5" s="1"/>
  <c r="BD69" i="5"/>
  <c r="BF69" i="5" s="1"/>
  <c r="BC69" i="5"/>
  <c r="G25" i="5"/>
  <c r="F25" i="5"/>
  <c r="F119" i="5"/>
  <c r="G119" i="5"/>
  <c r="AV6" i="5"/>
  <c r="AW6" i="5"/>
  <c r="AY6" i="5" s="1"/>
  <c r="BD62" i="5"/>
  <c r="BF62" i="5" s="1"/>
  <c r="BC62" i="5"/>
  <c r="F70" i="5"/>
  <c r="G70" i="5"/>
  <c r="G47" i="5"/>
  <c r="F47" i="5"/>
  <c r="G99" i="5"/>
  <c r="F99" i="5"/>
  <c r="BC24" i="5"/>
  <c r="BD24" i="5"/>
  <c r="BF24" i="5" s="1"/>
  <c r="AV129" i="5"/>
  <c r="AW129" i="5"/>
  <c r="AY129" i="5" s="1"/>
  <c r="AP107" i="5"/>
  <c r="AR107" i="5" s="1"/>
  <c r="AO107" i="5"/>
  <c r="BD127" i="5"/>
  <c r="BF127" i="5" s="1"/>
  <c r="BC127" i="5"/>
  <c r="AV134" i="5"/>
  <c r="AW134" i="5"/>
  <c r="AY134" i="5" s="1"/>
  <c r="BD56" i="5"/>
  <c r="BF56" i="5" s="1"/>
  <c r="BC56" i="5"/>
  <c r="G87" i="5"/>
  <c r="F87" i="5"/>
  <c r="AW108" i="5"/>
  <c r="AY108" i="5" s="1"/>
  <c r="AV108" i="5"/>
  <c r="BC35" i="5"/>
  <c r="BD35" i="5"/>
  <c r="BF35" i="5" s="1"/>
  <c r="U106" i="5"/>
  <c r="W106" i="5" s="1"/>
  <c r="T106" i="5"/>
  <c r="I86" i="5"/>
  <c r="U97" i="5"/>
  <c r="W97" i="5" s="1"/>
  <c r="T97" i="5"/>
  <c r="AW10" i="5"/>
  <c r="AY10" i="5" s="1"/>
  <c r="AV10" i="5"/>
  <c r="AV81" i="5"/>
  <c r="AW81" i="5"/>
  <c r="AY81" i="5" s="1"/>
  <c r="AH94" i="5"/>
  <c r="AI94" i="5"/>
  <c r="AK94" i="5" s="1"/>
  <c r="BD103" i="5"/>
  <c r="BF103" i="5" s="1"/>
  <c r="BC103" i="5"/>
  <c r="BD49" i="5"/>
  <c r="BF49" i="5" s="1"/>
  <c r="BC49" i="5"/>
  <c r="BD94" i="5"/>
  <c r="BF94" i="5" s="1"/>
  <c r="BC94" i="5"/>
  <c r="BD18" i="5"/>
  <c r="BF18" i="5" s="1"/>
  <c r="BC18" i="5"/>
  <c r="AW115" i="5"/>
  <c r="AY115" i="5" s="1"/>
  <c r="AV115" i="5"/>
  <c r="BC46" i="5"/>
  <c r="BD46" i="5"/>
  <c r="BF46" i="5" s="1"/>
  <c r="M46" i="5"/>
  <c r="N46" i="5"/>
  <c r="AO93" i="5"/>
  <c r="AP93" i="5"/>
  <c r="AR93" i="5" s="1"/>
  <c r="P116" i="5"/>
  <c r="AV18" i="5"/>
  <c r="AW18" i="5"/>
  <c r="AY18" i="5" s="1"/>
  <c r="AH26" i="5"/>
  <c r="AI26" i="5"/>
  <c r="AK26" i="5" s="1"/>
  <c r="G89" i="5"/>
  <c r="F89" i="5"/>
  <c r="I133" i="5"/>
  <c r="I132" i="5"/>
  <c r="G130" i="5"/>
  <c r="F130" i="5"/>
  <c r="BC132" i="5"/>
  <c r="BD132" i="5"/>
  <c r="BF132" i="5" s="1"/>
  <c r="BD135" i="5"/>
  <c r="BC135" i="5"/>
  <c r="BI87" i="5"/>
  <c r="F108" i="5"/>
  <c r="G108" i="5"/>
  <c r="G23" i="5"/>
  <c r="F23" i="5"/>
  <c r="AW118" i="5"/>
  <c r="AY118" i="5" s="1"/>
  <c r="AV118" i="5"/>
  <c r="BD107" i="5"/>
  <c r="BF107" i="5" s="1"/>
  <c r="BC107" i="5"/>
  <c r="F129" i="5"/>
  <c r="G129" i="5"/>
  <c r="F134" i="5"/>
  <c r="G134" i="5"/>
  <c r="BD131" i="5"/>
  <c r="BF131" i="5" s="1"/>
  <c r="BC131" i="5"/>
  <c r="G123" i="5"/>
  <c r="F123" i="5"/>
  <c r="G13" i="5"/>
  <c r="F13" i="5"/>
  <c r="G118" i="5"/>
  <c r="F118" i="5"/>
  <c r="I57" i="5"/>
  <c r="U118" i="5"/>
  <c r="W118" i="5" s="1"/>
  <c r="T118" i="5"/>
  <c r="AB107" i="5"/>
  <c r="AD107" i="5" s="1"/>
  <c r="AA107" i="5"/>
  <c r="BI108" i="5"/>
  <c r="AB106" i="5"/>
  <c r="AD106" i="5" s="1"/>
  <c r="AA106" i="5"/>
  <c r="G106" i="5"/>
  <c r="F106" i="5"/>
  <c r="AW117" i="5"/>
  <c r="AY117" i="5" s="1"/>
  <c r="AV117" i="5"/>
  <c r="BI97" i="5"/>
  <c r="U84" i="5"/>
  <c r="W84" i="5" s="1"/>
  <c r="T84" i="5"/>
  <c r="BC52" i="5"/>
  <c r="BD52" i="5"/>
  <c r="BF52" i="5" s="1"/>
  <c r="BC57" i="5"/>
  <c r="BD57" i="5"/>
  <c r="BF57" i="5" s="1"/>
  <c r="AI97" i="5"/>
  <c r="AK97" i="5" s="1"/>
  <c r="AH97" i="5"/>
  <c r="AV21" i="5"/>
  <c r="AW21" i="5"/>
  <c r="AY21" i="5" s="1"/>
  <c r="BD53" i="5"/>
  <c r="BF53" i="5" s="1"/>
  <c r="BC53" i="5"/>
  <c r="AI65" i="5"/>
  <c r="AK65" i="5" s="1"/>
  <c r="AH65" i="5"/>
  <c r="AV105" i="5"/>
  <c r="AW105" i="5"/>
  <c r="AY105" i="5" s="1"/>
  <c r="BD83" i="5"/>
  <c r="BF83" i="5" s="1"/>
  <c r="BC83" i="5"/>
  <c r="BD50" i="5"/>
  <c r="BF50" i="5" s="1"/>
  <c r="BC50" i="5"/>
  <c r="BC19" i="5"/>
  <c r="BD19" i="5"/>
  <c r="BF19" i="5" s="1"/>
  <c r="BI96" i="5"/>
  <c r="F81" i="5"/>
  <c r="G81" i="5"/>
  <c r="BI4" i="5"/>
  <c r="M47" i="5"/>
  <c r="N47" i="5"/>
  <c r="P47" i="5" s="1"/>
  <c r="I83" i="5"/>
  <c r="AH82" i="5"/>
  <c r="AI82" i="5"/>
  <c r="AK82" i="5" s="1"/>
  <c r="AO64" i="5"/>
  <c r="AP64" i="5"/>
  <c r="AR64" i="5" s="1"/>
  <c r="F104" i="5"/>
  <c r="G104" i="5"/>
  <c r="BD77" i="5"/>
  <c r="BF77" i="5" s="1"/>
  <c r="BC77" i="5"/>
  <c r="BI61" i="5"/>
  <c r="I4" i="5"/>
  <c r="F80" i="5"/>
  <c r="G80" i="5"/>
  <c r="BI31" i="5"/>
  <c r="AA46" i="5"/>
  <c r="AB46" i="5"/>
  <c r="AD46" i="5" s="1"/>
  <c r="BC44" i="5"/>
  <c r="BD44" i="5"/>
  <c r="BF44" i="5" s="1"/>
  <c r="AP61" i="5"/>
  <c r="AR61" i="5" s="1"/>
  <c r="AO61" i="5"/>
  <c r="I102" i="5"/>
  <c r="G77" i="5"/>
  <c r="F77" i="5"/>
  <c r="BI112" i="5"/>
  <c r="I39" i="5"/>
  <c r="I38" i="5"/>
  <c r="AV26" i="5"/>
  <c r="AW26" i="5"/>
  <c r="AY26" i="5" s="1"/>
  <c r="AV36" i="5"/>
  <c r="AW36" i="5"/>
  <c r="AY36" i="5" s="1"/>
  <c r="AA3" i="5"/>
  <c r="AB3" i="5"/>
  <c r="AD3" i="5" s="1"/>
  <c r="BD68" i="5"/>
  <c r="BF68" i="5" s="1"/>
  <c r="BC68" i="5"/>
  <c r="F91" i="5"/>
  <c r="G91" i="5"/>
  <c r="BD40" i="5"/>
  <c r="BF40" i="5" s="1"/>
  <c r="BK40" i="5" s="1"/>
  <c r="BN40" i="5" s="1"/>
  <c r="BC40" i="5"/>
  <c r="F59" i="5"/>
  <c r="G59" i="5"/>
  <c r="BD90" i="5"/>
  <c r="BF90" i="5" s="1"/>
  <c r="BC90" i="5"/>
  <c r="BC38" i="5"/>
  <c r="BD38" i="5"/>
  <c r="BF38" i="5" s="1"/>
  <c r="BC71" i="5"/>
  <c r="BD71" i="5"/>
  <c r="BF71" i="5" s="1"/>
  <c r="M71" i="5"/>
  <c r="N71" i="5"/>
  <c r="BC109" i="5"/>
  <c r="BD109" i="5"/>
  <c r="BF109" i="5" s="1"/>
  <c r="I61" i="5"/>
  <c r="BI62" i="5"/>
  <c r="I27" i="5"/>
  <c r="P90" i="5"/>
  <c r="AV70" i="5"/>
  <c r="AW70" i="5"/>
  <c r="AY70" i="5" s="1"/>
  <c r="T119" i="5"/>
  <c r="U119" i="5"/>
  <c r="W119" i="5" s="1"/>
  <c r="BI24" i="5"/>
  <c r="I92" i="5"/>
  <c r="P28" i="5"/>
  <c r="F73" i="5"/>
  <c r="G73" i="5"/>
  <c r="BD110" i="5"/>
  <c r="BC110" i="5"/>
  <c r="BC72" i="5"/>
  <c r="BD72" i="5"/>
  <c r="BF72" i="5" s="1"/>
  <c r="AH70" i="5"/>
  <c r="AI70" i="5"/>
  <c r="AK70" i="5" s="1"/>
  <c r="BD89" i="5"/>
  <c r="BF89" i="5" s="1"/>
  <c r="BC89" i="5"/>
  <c r="G68" i="5"/>
  <c r="F68" i="5"/>
  <c r="BD29" i="5"/>
  <c r="BF29" i="5" s="1"/>
  <c r="BC29" i="5"/>
  <c r="I75" i="5"/>
  <c r="I9" i="5"/>
  <c r="AO3" i="5"/>
  <c r="AP3" i="5"/>
  <c r="AR3" i="5" s="1"/>
  <c r="BI68" i="5"/>
  <c r="BD101" i="5"/>
  <c r="BF101" i="5" s="1"/>
  <c r="BC101" i="5"/>
  <c r="BC27" i="5"/>
  <c r="BD27" i="5"/>
  <c r="BF27" i="5" s="1"/>
  <c r="I109" i="5"/>
  <c r="AH129" i="5"/>
  <c r="AI129" i="5"/>
  <c r="AK129" i="5" s="1"/>
  <c r="BD118" i="5"/>
  <c r="BF118" i="5" s="1"/>
  <c r="BC118" i="5"/>
  <c r="N107" i="5"/>
  <c r="M107" i="5"/>
  <c r="AH108" i="5"/>
  <c r="AI108" i="5"/>
  <c r="AK108" i="5" s="1"/>
  <c r="BI107" i="5"/>
  <c r="BI106" i="5"/>
  <c r="F67" i="5"/>
  <c r="G67" i="5"/>
  <c r="F66" i="5"/>
  <c r="G66" i="5"/>
  <c r="BD12" i="5"/>
  <c r="BF12" i="5" s="1"/>
  <c r="BC12" i="5"/>
  <c r="AP106" i="5"/>
  <c r="AR106" i="5" s="1"/>
  <c r="AO106" i="5"/>
  <c r="AA57" i="5"/>
  <c r="AB57" i="5"/>
  <c r="AD57" i="5" s="1"/>
  <c r="I85" i="5"/>
  <c r="AW84" i="5"/>
  <c r="AY84" i="5" s="1"/>
  <c r="AV84" i="5"/>
  <c r="G97" i="5"/>
  <c r="F97" i="5"/>
  <c r="T21" i="5"/>
  <c r="U21" i="5"/>
  <c r="W21" i="5" s="1"/>
  <c r="AB53" i="5"/>
  <c r="AD53" i="5" s="1"/>
  <c r="AA53" i="5"/>
  <c r="BI65" i="5"/>
  <c r="G65" i="5"/>
  <c r="F65" i="5"/>
  <c r="T105" i="5"/>
  <c r="U105" i="5"/>
  <c r="W105" i="5" s="1"/>
  <c r="U20" i="5"/>
  <c r="W20" i="5" s="1"/>
  <c r="T20" i="5"/>
  <c r="BD115" i="5"/>
  <c r="BF115" i="5" s="1"/>
  <c r="BC115" i="5"/>
  <c r="T66" i="5"/>
  <c r="U66" i="5"/>
  <c r="W66" i="5" s="1"/>
  <c r="AH81" i="5"/>
  <c r="AI81" i="5"/>
  <c r="AK81" i="5" s="1"/>
  <c r="AA4" i="5"/>
  <c r="AB4" i="5"/>
  <c r="AD4" i="5" s="1"/>
  <c r="F94" i="5"/>
  <c r="G94" i="5"/>
  <c r="BC64" i="5"/>
  <c r="BD64" i="5"/>
  <c r="BF64" i="5" s="1"/>
  <c r="M64" i="5"/>
  <c r="N64" i="5"/>
  <c r="BC95" i="5"/>
  <c r="BD95" i="5"/>
  <c r="BF95" i="5" s="1"/>
  <c r="AW114" i="5"/>
  <c r="AY114" i="5" s="1"/>
  <c r="AV114" i="5"/>
  <c r="AB103" i="5"/>
  <c r="AD103" i="5" s="1"/>
  <c r="AA103" i="5"/>
  <c r="BI49" i="5"/>
  <c r="BC113" i="5"/>
  <c r="BD113" i="5"/>
  <c r="BF113" i="5" s="1"/>
  <c r="BC76" i="5"/>
  <c r="BD76" i="5"/>
  <c r="AO79" i="5"/>
  <c r="AP79" i="5"/>
  <c r="AR79" i="5" s="1"/>
  <c r="BI6" i="5"/>
  <c r="BI115" i="5"/>
  <c r="AH51" i="5"/>
  <c r="AI51" i="5"/>
  <c r="AK51" i="5" s="1"/>
  <c r="G115" i="5"/>
  <c r="F115" i="5"/>
  <c r="AH80" i="5"/>
  <c r="AI80" i="5"/>
  <c r="AK80" i="5" s="1"/>
  <c r="BC30" i="5"/>
  <c r="BD30" i="5"/>
  <c r="BF30" i="5" s="1"/>
  <c r="AA93" i="5"/>
  <c r="AB93" i="5"/>
  <c r="AD93" i="5" s="1"/>
  <c r="AI29" i="5"/>
  <c r="AK29" i="5" s="1"/>
  <c r="AH29" i="5"/>
  <c r="BI18" i="5"/>
  <c r="AW77" i="5"/>
  <c r="AY77" i="5" s="1"/>
  <c r="AV77" i="5"/>
  <c r="I100" i="5"/>
  <c r="BI7" i="5"/>
  <c r="T26" i="5"/>
  <c r="U26" i="5"/>
  <c r="W26" i="5" s="1"/>
  <c r="BI37" i="5"/>
  <c r="T36" i="5"/>
  <c r="U36" i="5"/>
  <c r="W36" i="5" s="1"/>
  <c r="BC3" i="5"/>
  <c r="BD3" i="5"/>
  <c r="BF3" i="5" s="1"/>
  <c r="G37" i="5"/>
  <c r="F37" i="5"/>
  <c r="AH119" i="5"/>
  <c r="AI119" i="5"/>
  <c r="AK119" i="5" s="1"/>
  <c r="BC58" i="5"/>
  <c r="BD58" i="5"/>
  <c r="BF58" i="5" s="1"/>
  <c r="BD25" i="5"/>
  <c r="BF25" i="5" s="1"/>
  <c r="BC25" i="5"/>
  <c r="U103" i="5"/>
  <c r="T103" i="5"/>
  <c r="F42" i="5"/>
  <c r="G42" i="5"/>
  <c r="BD28" i="5"/>
  <c r="BF28" i="5" s="1"/>
  <c r="BC28" i="5"/>
  <c r="BC100" i="5"/>
  <c r="BD100" i="5"/>
  <c r="BF100" i="5" s="1"/>
  <c r="AO71" i="5"/>
  <c r="AP71" i="5"/>
  <c r="AR71" i="5" s="1"/>
  <c r="F7" i="5"/>
  <c r="G7" i="5"/>
  <c r="BD99" i="5"/>
  <c r="BF99" i="5" s="1"/>
  <c r="BC99" i="5"/>
  <c r="M3" i="5"/>
  <c r="N3" i="5"/>
  <c r="AV119" i="5"/>
  <c r="AW119" i="5"/>
  <c r="AY119" i="5" s="1"/>
  <c r="BC112" i="5"/>
  <c r="BD112" i="5"/>
  <c r="BF112" i="5" s="1"/>
  <c r="I6" i="5"/>
  <c r="F121" i="5"/>
  <c r="G121" i="5"/>
  <c r="BD43" i="5"/>
  <c r="BF43" i="5" s="1"/>
  <c r="BC43" i="5"/>
  <c r="BC9" i="5"/>
  <c r="BD9" i="5"/>
  <c r="BF9" i="5" s="1"/>
  <c r="BI99" i="5"/>
  <c r="T70" i="5"/>
  <c r="U70" i="5"/>
  <c r="W70" i="5" s="1"/>
  <c r="BC16" i="5"/>
  <c r="BD16" i="5"/>
  <c r="BF16" i="5" s="1"/>
  <c r="I69" i="5"/>
  <c r="BJ8" i="5" l="1"/>
  <c r="BJ83" i="5"/>
  <c r="BK39" i="5"/>
  <c r="BN39" i="5" s="1"/>
  <c r="BO39" i="5" s="1"/>
  <c r="BJ15" i="5"/>
  <c r="BK8" i="5"/>
  <c r="BN8" i="5" s="1"/>
  <c r="BL8" i="5" s="1"/>
  <c r="BJ39" i="5"/>
  <c r="BK133" i="5"/>
  <c r="BN133" i="5" s="1"/>
  <c r="BL133" i="5" s="1"/>
  <c r="BJ133" i="5"/>
  <c r="BK6" i="5"/>
  <c r="BN6" i="5" s="1"/>
  <c r="BK86" i="5"/>
  <c r="BN86" i="5" s="1"/>
  <c r="BO86" i="5" s="1"/>
  <c r="BJ86" i="5"/>
  <c r="BK122" i="5"/>
  <c r="BN122" i="5" s="1"/>
  <c r="BL122" i="5" s="1"/>
  <c r="BJ11" i="5"/>
  <c r="BK60" i="5"/>
  <c r="BN60" i="5" s="1"/>
  <c r="BO60" i="5" s="1"/>
  <c r="BK56" i="5"/>
  <c r="BN56" i="5" s="1"/>
  <c r="BL56" i="5" s="1"/>
  <c r="BK15" i="5"/>
  <c r="BN15" i="5" s="1"/>
  <c r="BL15" i="5" s="1"/>
  <c r="BJ34" i="5"/>
  <c r="I34" i="5"/>
  <c r="BK34" i="5" s="1"/>
  <c r="BN34" i="5" s="1"/>
  <c r="BL34" i="5" s="1"/>
  <c r="BJ128" i="5"/>
  <c r="BK120" i="5"/>
  <c r="BN120" i="5" s="1"/>
  <c r="BO120" i="5" s="1"/>
  <c r="BK11" i="5"/>
  <c r="BN11" i="5" s="1"/>
  <c r="BO11" i="5" s="1"/>
  <c r="BJ120" i="5"/>
  <c r="BJ60" i="5"/>
  <c r="BK55" i="5"/>
  <c r="BN55" i="5" s="1"/>
  <c r="BP55" i="5" s="1"/>
  <c r="BK128" i="5"/>
  <c r="BN128" i="5" s="1"/>
  <c r="BL128" i="5" s="1"/>
  <c r="BJ109" i="5"/>
  <c r="BK33" i="5"/>
  <c r="BN33" i="5" s="1"/>
  <c r="BP33" i="5" s="1"/>
  <c r="BJ55" i="5"/>
  <c r="BK88" i="5"/>
  <c r="BN88" i="5" s="1"/>
  <c r="BL88" i="5" s="1"/>
  <c r="BK92" i="5"/>
  <c r="BN92" i="5" s="1"/>
  <c r="BP92" i="5" s="1"/>
  <c r="BK102" i="5"/>
  <c r="BN102" i="5" s="1"/>
  <c r="BP102" i="5" s="1"/>
  <c r="BK35" i="5"/>
  <c r="BN35" i="5" s="1"/>
  <c r="BO35" i="5" s="1"/>
  <c r="BK109" i="5"/>
  <c r="BN109" i="5" s="1"/>
  <c r="BO109" i="5" s="1"/>
  <c r="BJ92" i="5"/>
  <c r="BJ102" i="5"/>
  <c r="BK52" i="5"/>
  <c r="BN52" i="5" s="1"/>
  <c r="BP52" i="5" s="1"/>
  <c r="BJ41" i="5"/>
  <c r="BJ56" i="5"/>
  <c r="BJ79" i="5"/>
  <c r="BJ122" i="5"/>
  <c r="BK20" i="5"/>
  <c r="BN20" i="5" s="1"/>
  <c r="BL20" i="5" s="1"/>
  <c r="BK45" i="5"/>
  <c r="BN45" i="5" s="1"/>
  <c r="BP45" i="5" s="1"/>
  <c r="BJ116" i="5"/>
  <c r="BK48" i="5"/>
  <c r="BN48" i="5" s="1"/>
  <c r="BO48" i="5" s="1"/>
  <c r="BK69" i="5"/>
  <c r="BN69" i="5" s="1"/>
  <c r="BL69" i="5" s="1"/>
  <c r="BJ101" i="5"/>
  <c r="BJ84" i="5"/>
  <c r="BK83" i="5"/>
  <c r="BN83" i="5" s="1"/>
  <c r="BP83" i="5" s="1"/>
  <c r="BK116" i="5"/>
  <c r="BN116" i="5" s="1"/>
  <c r="BP116" i="5" s="1"/>
  <c r="BK96" i="5"/>
  <c r="BN96" i="5" s="1"/>
  <c r="BP96" i="5" s="1"/>
  <c r="BJ48" i="5"/>
  <c r="BJ24" i="5"/>
  <c r="BK43" i="5"/>
  <c r="BN43" i="5" s="1"/>
  <c r="BP43" i="5" s="1"/>
  <c r="BJ85" i="5"/>
  <c r="BK75" i="5"/>
  <c r="BN75" i="5" s="1"/>
  <c r="BO75" i="5" s="1"/>
  <c r="BK61" i="5"/>
  <c r="BN61" i="5" s="1"/>
  <c r="BO61" i="5" s="1"/>
  <c r="BJ98" i="5"/>
  <c r="BK63" i="5"/>
  <c r="BN63" i="5" s="1"/>
  <c r="BL63" i="5" s="1"/>
  <c r="BK41" i="5"/>
  <c r="BN41" i="5" s="1"/>
  <c r="BO41" i="5" s="1"/>
  <c r="BK32" i="5"/>
  <c r="BN32" i="5" s="1"/>
  <c r="BL32" i="5" s="1"/>
  <c r="BJ69" i="5"/>
  <c r="BK101" i="5"/>
  <c r="BN101" i="5" s="1"/>
  <c r="BL101" i="5" s="1"/>
  <c r="BJ61" i="5"/>
  <c r="BK84" i="5"/>
  <c r="BN84" i="5" s="1"/>
  <c r="BP84" i="5" s="1"/>
  <c r="BJ33" i="5"/>
  <c r="BJ45" i="5"/>
  <c r="BK24" i="5"/>
  <c r="BN24" i="5" s="1"/>
  <c r="BP24" i="5" s="1"/>
  <c r="BJ88" i="5"/>
  <c r="BJ75" i="5"/>
  <c r="BJ63" i="5"/>
  <c r="BJ32" i="5"/>
  <c r="BK100" i="5"/>
  <c r="BN100" i="5" s="1"/>
  <c r="BO100" i="5" s="1"/>
  <c r="BJ53" i="5"/>
  <c r="BK16" i="5"/>
  <c r="BN16" i="5" s="1"/>
  <c r="BP16" i="5" s="1"/>
  <c r="BK58" i="5"/>
  <c r="BN58" i="5" s="1"/>
  <c r="BL58" i="5" s="1"/>
  <c r="BJ131" i="5"/>
  <c r="BK51" i="5"/>
  <c r="BN51" i="5" s="1"/>
  <c r="BO51" i="5" s="1"/>
  <c r="BJ127" i="5"/>
  <c r="BK44" i="5"/>
  <c r="BN44" i="5" s="1"/>
  <c r="BO44" i="5" s="1"/>
  <c r="BJ58" i="5"/>
  <c r="BJ38" i="5"/>
  <c r="BJ57" i="5"/>
  <c r="BK132" i="5"/>
  <c r="BN132" i="5" s="1"/>
  <c r="BL132" i="5" s="1"/>
  <c r="BK131" i="5"/>
  <c r="BN131" i="5" s="1"/>
  <c r="BP131" i="5" s="1"/>
  <c r="BJ51" i="5"/>
  <c r="BK127" i="5"/>
  <c r="BN127" i="5" s="1"/>
  <c r="BO127" i="5" s="1"/>
  <c r="BJ44" i="5"/>
  <c r="BJ54" i="5"/>
  <c r="I54" i="5"/>
  <c r="BK54" i="5" s="1"/>
  <c r="BN54" i="5" s="1"/>
  <c r="I125" i="5"/>
  <c r="BK125" i="5" s="1"/>
  <c r="BN125" i="5" s="1"/>
  <c r="BJ125" i="5"/>
  <c r="BK9" i="5"/>
  <c r="BN9" i="5" s="1"/>
  <c r="BJ112" i="5"/>
  <c r="BJ43" i="5"/>
  <c r="BF126" i="5"/>
  <c r="BK126" i="5" s="1"/>
  <c r="BN126" i="5" s="1"/>
  <c r="BJ126" i="5"/>
  <c r="BJ100" i="5"/>
  <c r="BK28" i="5"/>
  <c r="BN28" i="5" s="1"/>
  <c r="BO28" i="5" s="1"/>
  <c r="BK112" i="5"/>
  <c r="BN112" i="5" s="1"/>
  <c r="BO112" i="5" s="1"/>
  <c r="BJ96" i="5"/>
  <c r="BJ5" i="5"/>
  <c r="I5" i="5"/>
  <c r="BK5" i="5" s="1"/>
  <c r="BN5" i="5" s="1"/>
  <c r="P107" i="5"/>
  <c r="BK107" i="5" s="1"/>
  <c r="BN107" i="5" s="1"/>
  <c r="BJ107" i="5"/>
  <c r="BJ27" i="5"/>
  <c r="I104" i="5"/>
  <c r="BK104" i="5" s="1"/>
  <c r="BN104" i="5" s="1"/>
  <c r="BJ104" i="5"/>
  <c r="BJ70" i="5"/>
  <c r="I70" i="5"/>
  <c r="BK70" i="5" s="1"/>
  <c r="BN70" i="5" s="1"/>
  <c r="BK18" i="5"/>
  <c r="BN18" i="5" s="1"/>
  <c r="I10" i="5"/>
  <c r="BK10" i="5" s="1"/>
  <c r="BN10" i="5" s="1"/>
  <c r="BJ10" i="5"/>
  <c r="I124" i="5"/>
  <c r="BK124" i="5" s="1"/>
  <c r="BN124" i="5" s="1"/>
  <c r="BJ124" i="5"/>
  <c r="BK79" i="5"/>
  <c r="BN79" i="5" s="1"/>
  <c r="P71" i="5"/>
  <c r="BK71" i="5" s="1"/>
  <c r="BN71" i="5" s="1"/>
  <c r="BJ71" i="5"/>
  <c r="BJ59" i="5"/>
  <c r="I59" i="5"/>
  <c r="BK59" i="5" s="1"/>
  <c r="BN59" i="5" s="1"/>
  <c r="BK38" i="5"/>
  <c r="BN38" i="5" s="1"/>
  <c r="BK4" i="5"/>
  <c r="BN4" i="5" s="1"/>
  <c r="BJ129" i="5"/>
  <c r="I129" i="5"/>
  <c r="BK129" i="5" s="1"/>
  <c r="BN129" i="5" s="1"/>
  <c r="I99" i="5"/>
  <c r="BK99" i="5" s="1"/>
  <c r="BN99" i="5" s="1"/>
  <c r="BJ99" i="5"/>
  <c r="BK95" i="5"/>
  <c r="BN95" i="5" s="1"/>
  <c r="BJ52" i="5"/>
  <c r="BJ12" i="5"/>
  <c r="I12" i="5"/>
  <c r="BK12" i="5" s="1"/>
  <c r="BN12" i="5" s="1"/>
  <c r="E13" i="3" s="1"/>
  <c r="BJ14" i="5"/>
  <c r="I14" i="5"/>
  <c r="BK14" i="5" s="1"/>
  <c r="BN14" i="5" s="1"/>
  <c r="BJ30" i="5"/>
  <c r="BJ94" i="5"/>
  <c r="I94" i="5"/>
  <c r="BK94" i="5" s="1"/>
  <c r="BN94" i="5" s="1"/>
  <c r="I97" i="5"/>
  <c r="BK97" i="5" s="1"/>
  <c r="BN97" i="5" s="1"/>
  <c r="BJ97" i="5"/>
  <c r="BJ67" i="5"/>
  <c r="I67" i="5"/>
  <c r="BK67" i="5" s="1"/>
  <c r="BN67" i="5" s="1"/>
  <c r="I68" i="5"/>
  <c r="BK68" i="5" s="1"/>
  <c r="BN68" i="5" s="1"/>
  <c r="BJ68" i="5"/>
  <c r="BF110" i="5"/>
  <c r="BK110" i="5" s="1"/>
  <c r="BN110" i="5" s="1"/>
  <c r="BJ110" i="5"/>
  <c r="BJ28" i="5"/>
  <c r="BJ90" i="5"/>
  <c r="BJ91" i="5"/>
  <c r="I91" i="5"/>
  <c r="BK91" i="5" s="1"/>
  <c r="BN91" i="5" s="1"/>
  <c r="BJ77" i="5"/>
  <c r="I77" i="5"/>
  <c r="BK77" i="5" s="1"/>
  <c r="BN77" i="5" s="1"/>
  <c r="BJ80" i="5"/>
  <c r="I80" i="5"/>
  <c r="BK80" i="5" s="1"/>
  <c r="BN80" i="5" s="1"/>
  <c r="BJ31" i="5"/>
  <c r="BK57" i="5"/>
  <c r="BN57" i="5" s="1"/>
  <c r="BJ13" i="5"/>
  <c r="I13" i="5"/>
  <c r="BK13" i="5" s="1"/>
  <c r="BN13" i="5" s="1"/>
  <c r="E14" i="3" s="1"/>
  <c r="BJ132" i="5"/>
  <c r="BJ113" i="5"/>
  <c r="P46" i="5"/>
  <c r="BK46" i="5" s="1"/>
  <c r="BN46" i="5" s="1"/>
  <c r="BJ46" i="5"/>
  <c r="BJ119" i="5"/>
  <c r="I119" i="5"/>
  <c r="BK119" i="5" s="1"/>
  <c r="BN119" i="5" s="1"/>
  <c r="BJ72" i="5"/>
  <c r="BJ74" i="5"/>
  <c r="BJ36" i="5"/>
  <c r="I36" i="5"/>
  <c r="BK36" i="5" s="1"/>
  <c r="BN36" i="5" s="1"/>
  <c r="BJ111" i="5"/>
  <c r="I111" i="5"/>
  <c r="BK111" i="5" s="1"/>
  <c r="BN111" i="5" s="1"/>
  <c r="BJ19" i="5"/>
  <c r="BJ95" i="5"/>
  <c r="AD50" i="5"/>
  <c r="BK50" i="5" s="1"/>
  <c r="BN50" i="5" s="1"/>
  <c r="BJ50" i="5"/>
  <c r="W103" i="5"/>
  <c r="BK103" i="5" s="1"/>
  <c r="BN103" i="5" s="1"/>
  <c r="BJ103" i="5"/>
  <c r="I37" i="5"/>
  <c r="BK37" i="5" s="1"/>
  <c r="BN37" i="5" s="1"/>
  <c r="BJ37" i="5"/>
  <c r="BF76" i="5"/>
  <c r="BK76" i="5" s="1"/>
  <c r="BN76" i="5" s="1"/>
  <c r="BJ76" i="5"/>
  <c r="BJ66" i="5"/>
  <c r="I66" i="5"/>
  <c r="BK66" i="5" s="1"/>
  <c r="BN66" i="5" s="1"/>
  <c r="BK114" i="5"/>
  <c r="BN114" i="5" s="1"/>
  <c r="BJ4" i="5"/>
  <c r="BJ106" i="5"/>
  <c r="I106" i="5"/>
  <c r="BK106" i="5" s="1"/>
  <c r="BN106" i="5" s="1"/>
  <c r="I118" i="5"/>
  <c r="BK118" i="5" s="1"/>
  <c r="BN118" i="5" s="1"/>
  <c r="BJ118" i="5"/>
  <c r="BJ123" i="5"/>
  <c r="I123" i="5"/>
  <c r="BK123" i="5" s="1"/>
  <c r="BN123" i="5" s="1"/>
  <c r="BJ23" i="5"/>
  <c r="I23" i="5"/>
  <c r="BK23" i="5" s="1"/>
  <c r="BN23" i="5" s="1"/>
  <c r="BJ26" i="5"/>
  <c r="I26" i="5"/>
  <c r="BK26" i="5" s="1"/>
  <c r="BN26" i="5" s="1"/>
  <c r="P93" i="5"/>
  <c r="BK93" i="5" s="1"/>
  <c r="BN93" i="5" s="1"/>
  <c r="BJ93" i="5"/>
  <c r="I78" i="5"/>
  <c r="BK78" i="5" s="1"/>
  <c r="BN78" i="5" s="1"/>
  <c r="BJ78" i="5"/>
  <c r="I49" i="5"/>
  <c r="BK49" i="5" s="1"/>
  <c r="BN49" i="5" s="1"/>
  <c r="BJ49" i="5"/>
  <c r="BJ35" i="5"/>
  <c r="BK30" i="5"/>
  <c r="BN30" i="5" s="1"/>
  <c r="BJ6" i="5"/>
  <c r="BJ115" i="5"/>
  <c r="I115" i="5"/>
  <c r="BK115" i="5" s="1"/>
  <c r="BN115" i="5" s="1"/>
  <c r="BK27" i="5"/>
  <c r="BN27" i="5" s="1"/>
  <c r="BP40" i="5"/>
  <c r="BL40" i="5"/>
  <c r="BO40" i="5"/>
  <c r="BJ108" i="5"/>
  <c r="I108" i="5"/>
  <c r="BK108" i="5" s="1"/>
  <c r="BN108" i="5" s="1"/>
  <c r="BF135" i="5"/>
  <c r="BK135" i="5" s="1"/>
  <c r="BN135" i="5" s="1"/>
  <c r="BJ135" i="5"/>
  <c r="I130" i="5"/>
  <c r="BK130" i="5" s="1"/>
  <c r="BN130" i="5" s="1"/>
  <c r="BJ130" i="5"/>
  <c r="I87" i="5"/>
  <c r="BK87" i="5" s="1"/>
  <c r="BN87" i="5" s="1"/>
  <c r="BJ87" i="5"/>
  <c r="BJ25" i="5"/>
  <c r="I25" i="5"/>
  <c r="BK25" i="5" s="1"/>
  <c r="BN25" i="5" s="1"/>
  <c r="BJ18" i="5"/>
  <c r="I82" i="5"/>
  <c r="BK82" i="5" s="1"/>
  <c r="BN82" i="5" s="1"/>
  <c r="BJ82" i="5"/>
  <c r="BJ21" i="5"/>
  <c r="I21" i="5"/>
  <c r="BK21" i="5" s="1"/>
  <c r="BN21" i="5" s="1"/>
  <c r="I17" i="5"/>
  <c r="BK17" i="5" s="1"/>
  <c r="BN17" i="5" s="1"/>
  <c r="BJ17" i="5"/>
  <c r="BJ121" i="5"/>
  <c r="I121" i="5"/>
  <c r="BK121" i="5" s="1"/>
  <c r="BN121" i="5" s="1"/>
  <c r="BJ3" i="5"/>
  <c r="P3" i="5"/>
  <c r="BK3" i="5" s="1"/>
  <c r="I7" i="5"/>
  <c r="BK7" i="5" s="1"/>
  <c r="BN7" i="5" s="1"/>
  <c r="BJ7" i="5"/>
  <c r="BJ42" i="5"/>
  <c r="I42" i="5"/>
  <c r="BK42" i="5" s="1"/>
  <c r="BN42" i="5" s="1"/>
  <c r="P64" i="5"/>
  <c r="BK64" i="5" s="1"/>
  <c r="BN64" i="5" s="1"/>
  <c r="BJ64" i="5"/>
  <c r="I65" i="5"/>
  <c r="BK65" i="5" s="1"/>
  <c r="BN65" i="5" s="1"/>
  <c r="BJ65" i="5"/>
  <c r="BK53" i="5"/>
  <c r="BN53" i="5" s="1"/>
  <c r="BK85" i="5"/>
  <c r="BN85" i="5" s="1"/>
  <c r="BJ9" i="5"/>
  <c r="BJ73" i="5"/>
  <c r="I73" i="5"/>
  <c r="BK73" i="5" s="1"/>
  <c r="BN73" i="5" s="1"/>
  <c r="BJ16" i="5"/>
  <c r="BK90" i="5"/>
  <c r="BN90" i="5" s="1"/>
  <c r="BJ40" i="5"/>
  <c r="BJ114" i="5"/>
  <c r="BK31" i="5"/>
  <c r="BN31" i="5" s="1"/>
  <c r="BJ20" i="5"/>
  <c r="BJ81" i="5"/>
  <c r="I81" i="5"/>
  <c r="BK81" i="5" s="1"/>
  <c r="BN81" i="5" s="1"/>
  <c r="BK98" i="5"/>
  <c r="BN98" i="5" s="1"/>
  <c r="BJ134" i="5"/>
  <c r="I134" i="5"/>
  <c r="BK134" i="5" s="1"/>
  <c r="BN134" i="5" s="1"/>
  <c r="BJ89" i="5"/>
  <c r="I89" i="5"/>
  <c r="BK89" i="5" s="1"/>
  <c r="BN89" i="5" s="1"/>
  <c r="BK113" i="5"/>
  <c r="BN113" i="5" s="1"/>
  <c r="BJ47" i="5"/>
  <c r="I47" i="5"/>
  <c r="BK47" i="5" s="1"/>
  <c r="BN47" i="5" s="1"/>
  <c r="BK72" i="5"/>
  <c r="BN72" i="5" s="1"/>
  <c r="BK74" i="5"/>
  <c r="BN74" i="5" s="1"/>
  <c r="BJ29" i="5"/>
  <c r="I29" i="5"/>
  <c r="BK29" i="5" s="1"/>
  <c r="BN29" i="5" s="1"/>
  <c r="BK19" i="5"/>
  <c r="BN19" i="5" s="1"/>
  <c r="BJ105" i="5"/>
  <c r="I105" i="5"/>
  <c r="BK105" i="5" s="1"/>
  <c r="BN105" i="5" s="1"/>
  <c r="I117" i="5"/>
  <c r="BK117" i="5" s="1"/>
  <c r="BN117" i="5" s="1"/>
  <c r="BJ117" i="5"/>
  <c r="I22" i="5"/>
  <c r="BK22" i="5" s="1"/>
  <c r="BN22" i="5" s="1"/>
  <c r="BJ22" i="5"/>
  <c r="I62" i="5"/>
  <c r="BK62" i="5" s="1"/>
  <c r="BN62" i="5" s="1"/>
  <c r="BJ62" i="5"/>
  <c r="E11" i="3" l="1"/>
  <c r="BL52" i="5"/>
  <c r="BN3" i="5"/>
  <c r="E12" i="3"/>
  <c r="BL33" i="5"/>
  <c r="BL39" i="5"/>
  <c r="BP44" i="5"/>
  <c r="BO102" i="5"/>
  <c r="BO33" i="5"/>
  <c r="BP133" i="5"/>
  <c r="BO56" i="5"/>
  <c r="BP39" i="5"/>
  <c r="BO133" i="5"/>
  <c r="BP56" i="5"/>
  <c r="BL102" i="5"/>
  <c r="E10" i="3"/>
  <c r="BP8" i="5"/>
  <c r="BO8" i="5"/>
  <c r="BL100" i="5"/>
  <c r="BO32" i="5"/>
  <c r="E9" i="3"/>
  <c r="BL41" i="5"/>
  <c r="BL35" i="5"/>
  <c r="BL120" i="5"/>
  <c r="BP35" i="5"/>
  <c r="BP122" i="5"/>
  <c r="BP15" i="5"/>
  <c r="BO15" i="5"/>
  <c r="BO55" i="5"/>
  <c r="BO52" i="5"/>
  <c r="E7" i="3"/>
  <c r="BL83" i="5"/>
  <c r="BP41" i="5"/>
  <c r="BP109" i="5"/>
  <c r="BL75" i="5"/>
  <c r="BL44" i="5"/>
  <c r="BP88" i="5"/>
  <c r="BP132" i="5"/>
  <c r="E16" i="3"/>
  <c r="BL55" i="5"/>
  <c r="BO122" i="5"/>
  <c r="BP120" i="5"/>
  <c r="BP58" i="5"/>
  <c r="BP75" i="5"/>
  <c r="BP11" i="5"/>
  <c r="BP48" i="5"/>
  <c r="BP61" i="5"/>
  <c r="BO84" i="5"/>
  <c r="BL9" i="5"/>
  <c r="E8" i="3"/>
  <c r="BL86" i="5"/>
  <c r="BL11" i="5"/>
  <c r="BP86" i="5"/>
  <c r="BP60" i="5"/>
  <c r="BP34" i="5"/>
  <c r="BL60" i="5"/>
  <c r="BL28" i="5"/>
  <c r="BO34" i="5"/>
  <c r="BP28" i="5"/>
  <c r="BO9" i="5"/>
  <c r="BO116" i="5"/>
  <c r="BO128" i="5"/>
  <c r="BP51" i="5"/>
  <c r="BO20" i="5"/>
  <c r="BO69" i="5"/>
  <c r="BO43" i="5"/>
  <c r="BP128" i="5"/>
  <c r="BL51" i="5"/>
  <c r="BP20" i="5"/>
  <c r="BL43" i="5"/>
  <c r="E6" i="3"/>
  <c r="BP9" i="5"/>
  <c r="BO45" i="5"/>
  <c r="BO63" i="5"/>
  <c r="BO16" i="5"/>
  <c r="BL92" i="5"/>
  <c r="BO88" i="5"/>
  <c r="BL116" i="5"/>
  <c r="BP127" i="5"/>
  <c r="BL109" i="5"/>
  <c r="BO92" i="5"/>
  <c r="BP69" i="5"/>
  <c r="BL96" i="5"/>
  <c r="BL45" i="5"/>
  <c r="BP101" i="5"/>
  <c r="BL127" i="5"/>
  <c r="BO96" i="5"/>
  <c r="BP112" i="5"/>
  <c r="BP100" i="5"/>
  <c r="BL48" i="5"/>
  <c r="BO83" i="5"/>
  <c r="BL61" i="5"/>
  <c r="BL84" i="5"/>
  <c r="BO131" i="5"/>
  <c r="BL24" i="5"/>
  <c r="E15" i="3"/>
  <c r="BL131" i="5"/>
  <c r="BP32" i="5"/>
  <c r="BL112" i="5"/>
  <c r="BO24" i="5"/>
  <c r="BP63" i="5"/>
  <c r="BO58" i="5"/>
  <c r="BL16" i="5"/>
  <c r="BO132" i="5"/>
  <c r="BO101" i="5"/>
  <c r="BP126" i="5"/>
  <c r="BL126" i="5"/>
  <c r="BO126" i="5"/>
  <c r="BL5" i="5"/>
  <c r="BP5" i="5"/>
  <c r="BO5" i="5"/>
  <c r="BP125" i="5"/>
  <c r="BO125" i="5"/>
  <c r="BL125" i="5"/>
  <c r="BO54" i="5"/>
  <c r="BP54" i="5"/>
  <c r="BL54" i="5"/>
  <c r="BP19" i="5"/>
  <c r="BL19" i="5"/>
  <c r="BO19" i="5"/>
  <c r="BP72" i="5"/>
  <c r="BL72" i="5"/>
  <c r="BO72" i="5"/>
  <c r="BP135" i="5"/>
  <c r="BL135" i="5"/>
  <c r="BO135" i="5"/>
  <c r="BO115" i="5"/>
  <c r="BP115" i="5"/>
  <c r="BL115" i="5"/>
  <c r="BP78" i="5"/>
  <c r="BL78" i="5"/>
  <c r="BO78" i="5"/>
  <c r="BO50" i="5"/>
  <c r="BP50" i="5"/>
  <c r="BL50" i="5"/>
  <c r="BO95" i="5"/>
  <c r="BL95" i="5"/>
  <c r="BP95" i="5"/>
  <c r="BL18" i="5"/>
  <c r="BP18" i="5"/>
  <c r="BO18" i="5"/>
  <c r="BP62" i="5"/>
  <c r="BL62" i="5"/>
  <c r="BO62" i="5"/>
  <c r="BO117" i="5"/>
  <c r="BL117" i="5"/>
  <c r="BP117" i="5"/>
  <c r="BP29" i="5"/>
  <c r="BO29" i="5"/>
  <c r="BL29" i="5"/>
  <c r="BO47" i="5"/>
  <c r="BL47" i="5"/>
  <c r="BP47" i="5"/>
  <c r="BP81" i="5"/>
  <c r="BO81" i="5"/>
  <c r="BL81" i="5"/>
  <c r="BP73" i="5"/>
  <c r="BL73" i="5"/>
  <c r="BO73" i="5"/>
  <c r="BO53" i="5"/>
  <c r="BL53" i="5"/>
  <c r="BP53" i="5"/>
  <c r="BP64" i="5"/>
  <c r="BL64" i="5"/>
  <c r="BO64" i="5"/>
  <c r="BP7" i="5"/>
  <c r="BL7" i="5"/>
  <c r="BO7" i="5"/>
  <c r="BO25" i="5"/>
  <c r="BL25" i="5"/>
  <c r="BP25" i="5"/>
  <c r="BO108" i="5"/>
  <c r="BL108" i="5"/>
  <c r="BP108" i="5"/>
  <c r="BO23" i="5"/>
  <c r="BP23" i="5"/>
  <c r="BL23" i="5"/>
  <c r="BP36" i="5"/>
  <c r="BO36" i="5"/>
  <c r="BL36" i="5"/>
  <c r="BL119" i="5"/>
  <c r="BP119" i="5"/>
  <c r="BO119" i="5"/>
  <c r="BP57" i="5"/>
  <c r="BL57" i="5"/>
  <c r="BO57" i="5"/>
  <c r="BO77" i="5"/>
  <c r="BP77" i="5"/>
  <c r="BL77" i="5"/>
  <c r="BP6" i="5"/>
  <c r="BL6" i="5"/>
  <c r="BO6" i="5"/>
  <c r="BO12" i="5"/>
  <c r="F13" i="3" s="1"/>
  <c r="BP12" i="5"/>
  <c r="BL12" i="5"/>
  <c r="BO4" i="5"/>
  <c r="BL4" i="5"/>
  <c r="BP4" i="5"/>
  <c r="BP124" i="5"/>
  <c r="BL124" i="5"/>
  <c r="BO124" i="5"/>
  <c r="BL70" i="5"/>
  <c r="BO70" i="5"/>
  <c r="BP70" i="5"/>
  <c r="BO98" i="5"/>
  <c r="BL98" i="5"/>
  <c r="BP98" i="5"/>
  <c r="BP31" i="5"/>
  <c r="BL31" i="5"/>
  <c r="BO31" i="5"/>
  <c r="BP121" i="5"/>
  <c r="BL121" i="5"/>
  <c r="BO121" i="5"/>
  <c r="BP37" i="5"/>
  <c r="BL37" i="5"/>
  <c r="BO37" i="5"/>
  <c r="BP110" i="5"/>
  <c r="BL110" i="5"/>
  <c r="BO110" i="5"/>
  <c r="BP104" i="5"/>
  <c r="BL104" i="5"/>
  <c r="BO104" i="5"/>
  <c r="BL105" i="5"/>
  <c r="BP105" i="5"/>
  <c r="BO105" i="5"/>
  <c r="BP134" i="5"/>
  <c r="BL134" i="5"/>
  <c r="BO134" i="5"/>
  <c r="BP42" i="5"/>
  <c r="BL42" i="5"/>
  <c r="BO42" i="5"/>
  <c r="BP130" i="5"/>
  <c r="BL130" i="5"/>
  <c r="BO130" i="5"/>
  <c r="BP49" i="5"/>
  <c r="BL49" i="5"/>
  <c r="BO49" i="5"/>
  <c r="BP93" i="5"/>
  <c r="BL93" i="5"/>
  <c r="BO93" i="5"/>
  <c r="BL118" i="5"/>
  <c r="BP118" i="5"/>
  <c r="BO118" i="5"/>
  <c r="BL114" i="5"/>
  <c r="BP114" i="5"/>
  <c r="BO114" i="5"/>
  <c r="BP76" i="5"/>
  <c r="BL76" i="5"/>
  <c r="BO76" i="5"/>
  <c r="BO103" i="5"/>
  <c r="BP103" i="5"/>
  <c r="BL103" i="5"/>
  <c r="BP68" i="5"/>
  <c r="BL68" i="5"/>
  <c r="BO68" i="5"/>
  <c r="BP97" i="5"/>
  <c r="BL97" i="5"/>
  <c r="BO97" i="5"/>
  <c r="BP99" i="5"/>
  <c r="BL99" i="5"/>
  <c r="BO99" i="5"/>
  <c r="BP38" i="5"/>
  <c r="BL38" i="5"/>
  <c r="BO38" i="5"/>
  <c r="BP71" i="5"/>
  <c r="BL71" i="5"/>
  <c r="BO71" i="5"/>
  <c r="BO89" i="5"/>
  <c r="BL89" i="5"/>
  <c r="BP89" i="5"/>
  <c r="BL85" i="5"/>
  <c r="BP85" i="5"/>
  <c r="BO85" i="5"/>
  <c r="BL21" i="5"/>
  <c r="BP21" i="5"/>
  <c r="BO21" i="5"/>
  <c r="BP87" i="5"/>
  <c r="BL87" i="5"/>
  <c r="BO87" i="5"/>
  <c r="BP46" i="5"/>
  <c r="BL46" i="5"/>
  <c r="BO46" i="5"/>
  <c r="BO22" i="5"/>
  <c r="BL22" i="5"/>
  <c r="BP22" i="5"/>
  <c r="BP74" i="5"/>
  <c r="BL74" i="5"/>
  <c r="BO74" i="5"/>
  <c r="BP113" i="5"/>
  <c r="BL113" i="5"/>
  <c r="BO113" i="5"/>
  <c r="BP90" i="5"/>
  <c r="BL90" i="5"/>
  <c r="BO90" i="5"/>
  <c r="BP65" i="5"/>
  <c r="BL65" i="5"/>
  <c r="BO65" i="5"/>
  <c r="BP17" i="5"/>
  <c r="BL17" i="5"/>
  <c r="BO17" i="5"/>
  <c r="BP82" i="5"/>
  <c r="BL82" i="5"/>
  <c r="BO82" i="5"/>
  <c r="BP27" i="5"/>
  <c r="BL27" i="5"/>
  <c r="BO27" i="5"/>
  <c r="BO30" i="5"/>
  <c r="BL30" i="5"/>
  <c r="BP30" i="5"/>
  <c r="BP26" i="5"/>
  <c r="BO26" i="5"/>
  <c r="BL26" i="5"/>
  <c r="BO123" i="5"/>
  <c r="BL123" i="5"/>
  <c r="BP123" i="5"/>
  <c r="BO106" i="5"/>
  <c r="BP106" i="5"/>
  <c r="BL106" i="5"/>
  <c r="BO66" i="5"/>
  <c r="BL66" i="5"/>
  <c r="BP66" i="5"/>
  <c r="BP111" i="5"/>
  <c r="BL111" i="5"/>
  <c r="BO111" i="5"/>
  <c r="BO13" i="5"/>
  <c r="F14" i="3" s="1"/>
  <c r="BP13" i="5"/>
  <c r="BL13" i="5"/>
  <c r="BP80" i="5"/>
  <c r="BO80" i="5"/>
  <c r="BL80" i="5"/>
  <c r="BP91" i="5"/>
  <c r="BL91" i="5"/>
  <c r="BO91" i="5"/>
  <c r="BL67" i="5"/>
  <c r="BP67" i="5"/>
  <c r="BO67" i="5"/>
  <c r="BO94" i="5"/>
  <c r="BP94" i="5"/>
  <c r="BL94" i="5"/>
  <c r="BP14" i="5"/>
  <c r="BL14" i="5"/>
  <c r="BO14" i="5"/>
  <c r="BP129" i="5"/>
  <c r="BO129" i="5"/>
  <c r="BL129" i="5"/>
  <c r="BP59" i="5"/>
  <c r="BL59" i="5"/>
  <c r="BO59" i="5"/>
  <c r="BP79" i="5"/>
  <c r="BL79" i="5"/>
  <c r="BO79" i="5"/>
  <c r="BL10" i="5"/>
  <c r="BO10" i="5"/>
  <c r="BP10" i="5"/>
  <c r="BO107" i="5"/>
  <c r="BP107" i="5"/>
  <c r="BL107" i="5"/>
  <c r="F16" i="3" l="1"/>
  <c r="F11" i="3"/>
  <c r="BS52" i="5"/>
  <c r="BS47" i="5"/>
  <c r="BS73" i="5"/>
  <c r="BS7" i="5"/>
  <c r="BS45" i="5"/>
  <c r="BS125" i="5"/>
  <c r="BS122" i="5"/>
  <c r="BS12" i="5"/>
  <c r="BS92" i="5"/>
  <c r="BS124" i="5"/>
  <c r="BS35" i="5"/>
  <c r="BS31" i="5"/>
  <c r="BS104" i="5"/>
  <c r="BS105" i="5"/>
  <c r="BS132" i="5"/>
  <c r="BS3" i="5"/>
  <c r="BS43" i="5"/>
  <c r="BS93" i="5"/>
  <c r="BS76" i="5"/>
  <c r="BS9" i="5"/>
  <c r="BS21" i="5"/>
  <c r="BS22" i="5"/>
  <c r="BS74" i="5"/>
  <c r="BS116" i="5"/>
  <c r="BS113" i="5"/>
  <c r="BS82" i="5"/>
  <c r="BS26" i="5"/>
  <c r="BS120" i="5"/>
  <c r="BS83" i="5"/>
  <c r="BS56" i="5"/>
  <c r="BS59" i="5"/>
  <c r="BS10" i="5"/>
  <c r="BS63" i="5"/>
  <c r="BS95" i="5"/>
  <c r="BS62" i="5"/>
  <c r="BS32" i="5"/>
  <c r="BS5" i="5"/>
  <c r="BS126" i="5"/>
  <c r="BS33" i="5"/>
  <c r="BS57" i="5"/>
  <c r="BS77" i="5"/>
  <c r="BS4" i="5"/>
  <c r="BS75" i="5"/>
  <c r="BS88" i="5"/>
  <c r="BS134" i="5"/>
  <c r="BS42" i="5"/>
  <c r="BP3" i="5"/>
  <c r="BS24" i="5"/>
  <c r="BS49" i="5"/>
  <c r="BS118" i="5"/>
  <c r="BS114" i="5"/>
  <c r="BS68" i="5"/>
  <c r="BS128" i="5"/>
  <c r="BS69" i="5"/>
  <c r="BS89" i="5"/>
  <c r="BS90" i="5"/>
  <c r="BS101" i="5"/>
  <c r="BS123" i="5"/>
  <c r="BS58" i="5"/>
  <c r="BS66" i="5"/>
  <c r="BS13" i="5"/>
  <c r="BS91" i="5"/>
  <c r="BS61" i="5"/>
  <c r="BS79" i="5"/>
  <c r="BS8" i="5"/>
  <c r="BS107" i="5"/>
  <c r="BS127" i="5"/>
  <c r="BS19" i="5"/>
  <c r="BS72" i="5"/>
  <c r="BS115" i="5"/>
  <c r="BS50" i="5"/>
  <c r="BS29" i="5"/>
  <c r="BS15" i="5"/>
  <c r="BS53" i="5"/>
  <c r="BS25" i="5"/>
  <c r="BS54" i="5"/>
  <c r="BS108" i="5"/>
  <c r="BS55" i="5"/>
  <c r="BS36" i="5"/>
  <c r="BS119" i="5"/>
  <c r="BS39" i="5"/>
  <c r="BS6" i="5"/>
  <c r="BS70" i="5"/>
  <c r="BS133" i="5"/>
  <c r="BS98" i="5"/>
  <c r="BS121" i="5"/>
  <c r="BS37" i="5"/>
  <c r="BS48" i="5"/>
  <c r="BL3" i="5"/>
  <c r="BS100" i="5"/>
  <c r="BS97" i="5"/>
  <c r="BS99" i="5"/>
  <c r="BS131" i="5"/>
  <c r="BS38" i="5"/>
  <c r="BS112" i="5"/>
  <c r="BS87" i="5"/>
  <c r="BS65" i="5"/>
  <c r="BS17" i="5"/>
  <c r="BS34" i="5"/>
  <c r="BS27" i="5"/>
  <c r="BS30" i="5"/>
  <c r="BS106" i="5"/>
  <c r="BS16" i="5"/>
  <c r="BS51" i="5"/>
  <c r="E5" i="3"/>
  <c r="BS135" i="5"/>
  <c r="BS78" i="5"/>
  <c r="BS18" i="5"/>
  <c r="BS86" i="5"/>
  <c r="BS117" i="5"/>
  <c r="BS81" i="5"/>
  <c r="BS102" i="5"/>
  <c r="BS64" i="5"/>
  <c r="BS11" i="5"/>
  <c r="BS44" i="5"/>
  <c r="BS23" i="5"/>
  <c r="BS109" i="5"/>
  <c r="BS96" i="5"/>
  <c r="BS110" i="5"/>
  <c r="BS84" i="5"/>
  <c r="BO3" i="5"/>
  <c r="F5" i="3" s="1"/>
  <c r="BS130" i="5"/>
  <c r="BS40" i="5"/>
  <c r="BS103" i="5"/>
  <c r="BS71" i="5"/>
  <c r="BS20" i="5"/>
  <c r="BS85" i="5"/>
  <c r="BS60" i="5"/>
  <c r="BS46" i="5"/>
  <c r="BS28" i="5"/>
  <c r="BS111" i="5"/>
  <c r="BS41" i="5"/>
  <c r="BS80" i="5"/>
  <c r="BS67" i="5"/>
  <c r="BS94" i="5"/>
  <c r="BS14" i="5"/>
  <c r="BS129" i="5"/>
  <c r="F15" i="3"/>
  <c r="F12" i="3"/>
  <c r="F10" i="3"/>
  <c r="F7" i="3"/>
  <c r="F9" i="3"/>
  <c r="F8" i="3"/>
  <c r="F6" i="3"/>
</calcChain>
</file>

<file path=xl/sharedStrings.xml><?xml version="1.0" encoding="utf-8"?>
<sst xmlns="http://schemas.openxmlformats.org/spreadsheetml/2006/main" count="87" uniqueCount="28">
  <si>
    <t>Seat No.</t>
  </si>
  <si>
    <t>Overall Grade</t>
  </si>
  <si>
    <t>SGPI</t>
  </si>
  <si>
    <t>Student Name</t>
  </si>
  <si>
    <t>Rank</t>
  </si>
  <si>
    <t>Subject</t>
  </si>
  <si>
    <t>Final Total</t>
  </si>
  <si>
    <t>Final Calculations</t>
  </si>
  <si>
    <t>Internal
(40)</t>
  </si>
  <si>
    <t>External
(60)</t>
  </si>
  <si>
    <t>Total
(100)</t>
  </si>
  <si>
    <t>Grade</t>
  </si>
  <si>
    <t>Grade Point</t>
  </si>
  <si>
    <t>Credit</t>
  </si>
  <si>
    <t>CG=C*G</t>
  </si>
  <si>
    <t>Total Internal (320)</t>
  </si>
  <si>
    <t>Total External (480)</t>
  </si>
  <si>
    <t>Total (800)</t>
  </si>
  <si>
    <t>Total GP</t>
  </si>
  <si>
    <t>Total CG=CxG</t>
  </si>
  <si>
    <t>%</t>
  </si>
  <si>
    <t>Result</t>
  </si>
  <si>
    <t>Over Grade</t>
  </si>
  <si>
    <t>Range</t>
  </si>
  <si>
    <t>Toppers</t>
  </si>
  <si>
    <t>Top 12</t>
  </si>
  <si>
    <t>*STRICTLY DO NOT EDIT THIS SHEET* *Only Press Ctrl+Shift+Z*</t>
  </si>
  <si>
    <t>*STRICTLY DO NOT EDIT THIS SHEET*Only Press Ctrl+Shift+Z*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</si>
</sst>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63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9" fillId="0" borderId="0"/>
  </cellStyleXfs>
  <cellXfs count="50">
    <xf numFmtId="0" fontId="0" fillId="0" borderId="0" xfId="0"/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8" xfId="0" applyFont="1" applyBorder="1"/>
    <xf numFmtId="0" fontId="5" fillId="0" borderId="11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/>
    </xf>
    <xf numFmtId="0" fontId="5" fillId="0" borderId="0" xfId="0" applyFont="1"/>
    <xf numFmtId="0" fontId="5" fillId="0" borderId="14" xfId="0" applyFont="1" applyBorder="1"/>
    <xf numFmtId="0" fontId="0" fillId="0" borderId="0" xfId="0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16" xfId="0" applyBorder="1"/>
    <xf numFmtId="0" fontId="0" fillId="0" borderId="16" xfId="0" applyBorder="1" applyAlignment="1">
      <alignment horizontal="left" vertical="center"/>
    </xf>
    <xf numFmtId="0" fontId="0" fillId="0" borderId="16" xfId="0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7" fillId="2" borderId="16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/>
    </xf>
    <xf numFmtId="0" fontId="8" fillId="0" borderId="16" xfId="2" applyFont="1" applyBorder="1" applyAlignment="1">
      <alignment horizontal="center" vertical="center"/>
    </xf>
    <xf numFmtId="0" fontId="8" fillId="0" borderId="16" xfId="1" applyNumberFormat="1" applyFont="1" applyBorder="1" applyAlignment="1">
      <alignment horizontal="center" vertical="center"/>
    </xf>
    <xf numFmtId="0" fontId="6" fillId="0" borderId="16" xfId="0" applyFont="1" applyBorder="1" applyAlignment="1">
      <alignment horizontal="center"/>
    </xf>
    <xf numFmtId="2" fontId="6" fillId="0" borderId="16" xfId="0" applyNumberFormat="1" applyFont="1" applyBorder="1" applyAlignment="1">
      <alignment horizontal="center" vertical="center"/>
    </xf>
    <xf numFmtId="2" fontId="6" fillId="0" borderId="16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 vertical="center" wrapText="1"/>
    </xf>
    <xf numFmtId="2" fontId="2" fillId="0" borderId="2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10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1" fillId="0" borderId="12" xfId="0" applyFont="1" applyBorder="1" applyAlignment="1">
      <alignment horizontal="center" vertical="center" wrapText="1"/>
    </xf>
  </cellXfs>
  <cellStyles count="3">
    <cellStyle name="Normal" xfId="0" builtinId="0"/>
    <cellStyle name="Normal 2" xfId="2" xr:uid="{7E6C2464-1A10-4411-ADF0-2A74389B681A}"/>
    <cellStyle name="Percent" xfId="1" builtinId="5"/>
  </cellStyles>
  <dxfs count="6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5" Type="http://schemas.openxmlformats.org/officeDocument/2006/relationships/externalLink" Target="externalLinks/externalLink3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8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ubjects%20Lis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tudents%20Databas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1st%20Subject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2nd%20Subject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3rd%20Subject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4th%20Subject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5th%20Subject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6th%20Subject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7th%20Subject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8th%20Subjec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jects List"/>
    </sheetNames>
    <sheetDataSet>
      <sheetData sheetId="0">
        <row r="4">
          <cell r="C4" t="str">
            <v>Perspective Management</v>
          </cell>
        </row>
        <row r="5">
          <cell r="C5" t="str">
            <v>Financial Accounting</v>
          </cell>
        </row>
        <row r="6">
          <cell r="C6" t="str">
            <v>Business Statistics</v>
          </cell>
        </row>
        <row r="7">
          <cell r="C7" t="str">
            <v>Operations Management</v>
          </cell>
        </row>
        <row r="8">
          <cell r="C8" t="str">
            <v>Managerial Economics</v>
          </cell>
        </row>
        <row r="9">
          <cell r="C9" t="str">
            <v>Effective and Management Communication</v>
          </cell>
        </row>
        <row r="10">
          <cell r="C10" t="str">
            <v>Negotiation and Selling Skills</v>
          </cell>
        </row>
        <row r="11">
          <cell r="C11" t="str">
            <v>Organisational Behaviour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2" t="str">
            <v>MMS18-20/001</v>
          </cell>
          <cell r="B2" t="str">
            <v>ADEPU CHETAN GANESH ARCHANA</v>
          </cell>
        </row>
        <row r="3">
          <cell r="A3" t="str">
            <v>MMS18-20/002</v>
          </cell>
          <cell r="B3" t="str">
            <v>/ADIVAREKAR PRITI GIRIGHAR NAMRATA</v>
          </cell>
        </row>
        <row r="4">
          <cell r="A4" t="str">
            <v>MMS18-20/003</v>
          </cell>
          <cell r="B4" t="str">
            <v>AMBALLA VISHAL MANOHAR BHARATHI</v>
          </cell>
        </row>
        <row r="5">
          <cell r="A5" t="str">
            <v>MMS18-20/004</v>
          </cell>
          <cell r="B5" t="str">
            <v>/AMIN MEENAL PRAVIN ANITA</v>
          </cell>
        </row>
        <row r="6">
          <cell r="A6" t="str">
            <v>MMS18-20/005</v>
          </cell>
          <cell r="B6" t="str">
            <v>/ARANJO JULIANA MICHAEL LEENA</v>
          </cell>
        </row>
        <row r="7">
          <cell r="A7" t="str">
            <v>MMS18-20/006</v>
          </cell>
          <cell r="B7" t="str">
            <v>BAGUL PRANAV PRAMOD MEENA</v>
          </cell>
        </row>
        <row r="8">
          <cell r="A8" t="str">
            <v>MMS18-20/007</v>
          </cell>
          <cell r="B8" t="str">
            <v>/BAMANE RENUKA UTTAM SUNITA</v>
          </cell>
        </row>
        <row r="9">
          <cell r="A9" t="str">
            <v>MMS18-20/008</v>
          </cell>
          <cell r="B9" t="str">
            <v>/BANSODE NAMRATA SUHAS SANGEETA</v>
          </cell>
        </row>
        <row r="10">
          <cell r="A10" t="str">
            <v>MMS18-20/009</v>
          </cell>
          <cell r="B10" t="str">
            <v>/BHAJANI DHANASHREE MANOHAR KAVITA</v>
          </cell>
        </row>
        <row r="11">
          <cell r="A11" t="str">
            <v>MMS18-20/010</v>
          </cell>
          <cell r="B11" t="str">
            <v>BHANGALE BHUPENDRA RAMESH JYOTI</v>
          </cell>
        </row>
        <row r="12">
          <cell r="A12" t="str">
            <v>MMS18-20/011</v>
          </cell>
          <cell r="B12" t="str">
            <v>/BHATKAR ANAGHA ANIL AKSHATA</v>
          </cell>
        </row>
        <row r="13">
          <cell r="A13" t="str">
            <v>MMS18-20/012</v>
          </cell>
          <cell r="B13" t="str">
            <v>BHOIR PRANAV SURESH SWETA</v>
          </cell>
        </row>
        <row r="14">
          <cell r="A14" t="str">
            <v>MMS18-20/013</v>
          </cell>
          <cell r="B14" t="str">
            <v>BHOIR VINAYAK CHINTAMAN SHALINI</v>
          </cell>
        </row>
        <row r="15">
          <cell r="A15" t="str">
            <v>MMS18-20/014</v>
          </cell>
          <cell r="B15" t="str">
            <v>BHOSALE MAYUR PRATAPRAO USHA</v>
          </cell>
        </row>
        <row r="16">
          <cell r="A16" t="str">
            <v>MMS18-20/015</v>
          </cell>
          <cell r="B16" t="str">
            <v>/BIDVI ABOLI AJENDRA NEHA</v>
          </cell>
        </row>
        <row r="17">
          <cell r="A17" t="str">
            <v>MMS18-20/016</v>
          </cell>
          <cell r="B17" t="str">
            <v>BORKAR DIPESH SHYAM SANGITA</v>
          </cell>
        </row>
        <row r="18">
          <cell r="A18" t="str">
            <v>MMS18-20/017</v>
          </cell>
          <cell r="B18" t="str">
            <v>/CHANDORKAR PRAJAL MADHUKAR VANITA</v>
          </cell>
        </row>
        <row r="19">
          <cell r="A19" t="str">
            <v>MMS18-20/018</v>
          </cell>
          <cell r="B19" t="str">
            <v>CHAUDHARI TRUPAL JEEVAN SMITA</v>
          </cell>
        </row>
        <row r="20">
          <cell r="A20" t="str">
            <v>MMS18-20/019</v>
          </cell>
          <cell r="B20" t="str">
            <v>CHAVAN SURAJ SURESH SUREKHA</v>
          </cell>
        </row>
        <row r="21">
          <cell r="A21" t="str">
            <v>MMS18-20/020</v>
          </cell>
          <cell r="B21" t="str">
            <v>/CHAWHAN SAMTA VIJAY SUNITA</v>
          </cell>
        </row>
        <row r="22">
          <cell r="A22" t="str">
            <v>MMS18-20/021</v>
          </cell>
          <cell r="B22" t="str">
            <v>DESAI SAURABH HARESH HARSHADA</v>
          </cell>
        </row>
        <row r="23">
          <cell r="A23" t="str">
            <v>MMS18-20/022</v>
          </cell>
          <cell r="B23" t="str">
            <v>*** (NOT AVAILABLE) ***</v>
          </cell>
        </row>
        <row r="24">
          <cell r="A24" t="str">
            <v>MMS18-20/023</v>
          </cell>
          <cell r="B24" t="str">
            <v xml:space="preserve">/PICHAD DESHMUKH GIRIJA HEMANT MOHINI </v>
          </cell>
        </row>
        <row r="25">
          <cell r="A25" t="str">
            <v>MMS18-20/024</v>
          </cell>
          <cell r="B25" t="str">
            <v>DHUMAL SAURABH RAMESH RAJASHREE</v>
          </cell>
        </row>
        <row r="26">
          <cell r="A26" t="str">
            <v>MMS18-20/025</v>
          </cell>
          <cell r="B26" t="str">
            <v>/DSOUZA FLOSSIE JOACHIM RITA</v>
          </cell>
        </row>
        <row r="27">
          <cell r="A27" t="str">
            <v>MMS18-20/026</v>
          </cell>
          <cell r="B27" t="str">
            <v>/DYWARSHETTY NEELIMA VENUGOPAL INDUMATI</v>
          </cell>
        </row>
        <row r="28">
          <cell r="A28" t="str">
            <v>MMS18-20/027</v>
          </cell>
          <cell r="B28" t="str">
            <v>/ERANDE TRUPTI UTTAM SUNITA</v>
          </cell>
        </row>
        <row r="29">
          <cell r="A29" t="str">
            <v>MMS18-20/028</v>
          </cell>
          <cell r="B29" t="str">
            <v>GAMBHIRRAO MANISH HARISHCHANDRA RANJANA</v>
          </cell>
        </row>
        <row r="30">
          <cell r="A30" t="str">
            <v>MMS18-20/029</v>
          </cell>
          <cell r="B30" t="str">
            <v>GANGANI ANKIT SURESH TEJAL</v>
          </cell>
        </row>
        <row r="31">
          <cell r="A31" t="str">
            <v>MMS18-20/030</v>
          </cell>
          <cell r="B31" t="str">
            <v>/GANGURDE SAKSHI SUDHIR ASHA</v>
          </cell>
        </row>
        <row r="32">
          <cell r="A32" t="str">
            <v>MMS18-20/031</v>
          </cell>
          <cell r="B32" t="str">
            <v>GHUMARE SANKET RAMESH JAYSHREE</v>
          </cell>
        </row>
        <row r="33">
          <cell r="A33" t="str">
            <v>MMS18-20/032</v>
          </cell>
          <cell r="B33" t="str">
            <v>GUPTA NITIN RAJESH CHANDRAKALA</v>
          </cell>
        </row>
        <row r="34">
          <cell r="A34" t="str">
            <v>MMS18-20/033</v>
          </cell>
          <cell r="B34" t="str">
            <v>HANDE RAHUL RANGARAO NALINI</v>
          </cell>
        </row>
        <row r="35">
          <cell r="A35" t="str">
            <v>MMS18-20/034</v>
          </cell>
          <cell r="B35" t="str">
            <v>HARMALKAR PRATHAMESH SUBHASH SUBHASHINI</v>
          </cell>
        </row>
        <row r="36">
          <cell r="A36" t="str">
            <v>MMS18-20/035</v>
          </cell>
          <cell r="B36" t="str">
            <v>KADAM AVIRAJ MOHAN MOHINI</v>
          </cell>
        </row>
        <row r="37">
          <cell r="A37" t="str">
            <v>MMS18-20/036</v>
          </cell>
          <cell r="B37" t="str">
            <v>JADHAV ANKUR SHIVAJI ANAGHA</v>
          </cell>
        </row>
        <row r="38">
          <cell r="A38" t="str">
            <v>MMS18-20/037</v>
          </cell>
          <cell r="B38" t="str">
            <v>KADAM AKSHAY RAMESH REEMA</v>
          </cell>
        </row>
        <row r="39">
          <cell r="A39" t="str">
            <v>MMS18-20/038</v>
          </cell>
          <cell r="B39" t="str">
            <v>KADAM SHANTANU DILEEP ANITA</v>
          </cell>
        </row>
        <row r="40">
          <cell r="A40" t="str">
            <v>MMS18-20/039</v>
          </cell>
          <cell r="B40" t="str">
            <v>KAMBLE NIKHIL KESHAVRAO SUSHILA</v>
          </cell>
        </row>
        <row r="41">
          <cell r="A41" t="str">
            <v>MMS18-20/040</v>
          </cell>
          <cell r="B41" t="str">
            <v>KAMBLE SIDDHESH RAMESH SUHASINI</v>
          </cell>
        </row>
        <row r="42">
          <cell r="A42" t="str">
            <v>MMS18-20/041</v>
          </cell>
          <cell r="B42" t="str">
            <v>KATARE MAYANK PRAMOD PRANITA</v>
          </cell>
        </row>
        <row r="43">
          <cell r="A43" t="str">
            <v>MMS18-20/042</v>
          </cell>
          <cell r="B43" t="str">
            <v>KHAN SAIF ALI NIZAM BILKIS</v>
          </cell>
        </row>
        <row r="44">
          <cell r="A44" t="str">
            <v>MMS18-20/043</v>
          </cell>
          <cell r="B44" t="str">
            <v>*** (NOT AVAILABLE) ***</v>
          </cell>
        </row>
        <row r="45">
          <cell r="A45" t="str">
            <v>MMS18-20/044</v>
          </cell>
          <cell r="B45" t="str">
            <v>/KOLGE VARDA DEEPAK AARTI</v>
          </cell>
        </row>
        <row r="46">
          <cell r="A46" t="str">
            <v>MMS18-20/045</v>
          </cell>
          <cell r="B46" t="str">
            <v>KOLI PRATIK PRABHAKAR NALINI</v>
          </cell>
        </row>
        <row r="47">
          <cell r="A47" t="str">
            <v>MMS18-20/046</v>
          </cell>
          <cell r="B47" t="str">
            <v>KONDEKAR VAIBHAV VIJAY VAISHALI</v>
          </cell>
        </row>
        <row r="48">
          <cell r="A48" t="str">
            <v>MMS18-20/047</v>
          </cell>
          <cell r="B48" t="str">
            <v>KORE PRASHEEL PRASHANT SHEELA</v>
          </cell>
        </row>
        <row r="49">
          <cell r="A49" t="str">
            <v>MMS18-20/048</v>
          </cell>
          <cell r="B49" t="str">
            <v>LATE VISHAL BALASAHEB PRAMILA</v>
          </cell>
        </row>
        <row r="50">
          <cell r="A50" t="str">
            <v>MMS18-20/049</v>
          </cell>
          <cell r="B50" t="str">
            <v xml:space="preserve">/LOKE TEJAL JITENDRA GEETA </v>
          </cell>
        </row>
        <row r="51">
          <cell r="A51" t="str">
            <v>MMS18-20/050</v>
          </cell>
          <cell r="B51" t="str">
            <v>/MANDAVKAR CHAITRALI SANJAY SUCHITA</v>
          </cell>
        </row>
        <row r="52">
          <cell r="A52" t="str">
            <v>MMS18-20/051</v>
          </cell>
          <cell r="B52" t="str">
            <v>/MARCHANDE SHWETA SHANTARAM SHEETAL</v>
          </cell>
        </row>
        <row r="53">
          <cell r="A53" t="str">
            <v>MMS18-20/052</v>
          </cell>
          <cell r="B53" t="str">
            <v>MHATRE VARAD GURUNATH SUSHMA</v>
          </cell>
        </row>
        <row r="54">
          <cell r="A54" t="str">
            <v>MMS18-20/053</v>
          </cell>
          <cell r="B54" t="str">
            <v>/MISHRA RASHMI SHIVKANT PRATIBHA</v>
          </cell>
        </row>
        <row r="55">
          <cell r="A55" t="str">
            <v>MMS18-20/054</v>
          </cell>
          <cell r="B55" t="str">
            <v>/NAIR ANAGHA ANANDKUMAR BHANUMATHI</v>
          </cell>
        </row>
        <row r="56">
          <cell r="A56" t="str">
            <v>MMS18-20/055</v>
          </cell>
          <cell r="B56" t="str">
            <v xml:space="preserve">PANCHAL ANIKET AVINASH AARTI </v>
          </cell>
        </row>
        <row r="57">
          <cell r="A57" t="str">
            <v>MMS18-20/056</v>
          </cell>
          <cell r="B57" t="str">
            <v>SHAIKH SAMEER MOHAMMADHUSSAIN FATIMA</v>
          </cell>
        </row>
        <row r="58">
          <cell r="A58" t="str">
            <v>MMS18-20/057</v>
          </cell>
          <cell r="B58" t="str">
            <v>/SHAMBHARKAR PALLAVI JAGDISH MINAKSHI</v>
          </cell>
        </row>
        <row r="59">
          <cell r="A59" t="str">
            <v>MMS18-20/058</v>
          </cell>
          <cell r="B59" t="str">
            <v>SINGH ASHWIN BHAGWANPRASAD SADHANA</v>
          </cell>
        </row>
        <row r="60">
          <cell r="A60" t="str">
            <v>MMS18-20/059</v>
          </cell>
          <cell r="B60" t="str">
            <v>WANKHADE NIKHIL MADHUKAR JYOTI</v>
          </cell>
        </row>
        <row r="61">
          <cell r="A61" t="str">
            <v>MMS18-20/060</v>
          </cell>
          <cell r="B61" t="str">
            <v>WORLIKAR SIDDHANT PANKAJ VIDYA</v>
          </cell>
        </row>
        <row r="62">
          <cell r="A62" t="str">
            <v>MMS18-20/061</v>
          </cell>
          <cell r="B62" t="str">
            <v>AGATE AKASH PRAKASH KIRAN</v>
          </cell>
        </row>
        <row r="63">
          <cell r="A63" t="str">
            <v>MMS18-20/062</v>
          </cell>
          <cell r="B63" t="str">
            <v>/AVHAD VISHAKHA MILIND RAKHI</v>
          </cell>
        </row>
        <row r="64">
          <cell r="A64" t="str">
            <v>MMS18-20/063</v>
          </cell>
          <cell r="B64" t="str">
            <v>CHILE VARAD KISHOR NEHA</v>
          </cell>
        </row>
        <row r="65">
          <cell r="A65" t="str">
            <v>MMS18-20/064</v>
          </cell>
          <cell r="B65" t="str">
            <v>DALVI AKASH SHANKAR NIRMALA</v>
          </cell>
        </row>
        <row r="66">
          <cell r="A66" t="str">
            <v>MMS18-20/065</v>
          </cell>
          <cell r="B66" t="str">
            <v>/DALVI RUTUJA JAGDISH SUPRIYA</v>
          </cell>
        </row>
        <row r="67">
          <cell r="A67" t="str">
            <v>MMS18-20/066</v>
          </cell>
          <cell r="B67" t="str">
            <v xml:space="preserve">GANDHI BHAVIK AJAY HARSHA </v>
          </cell>
        </row>
        <row r="68">
          <cell r="A68" t="str">
            <v>MMS18-20/067</v>
          </cell>
          <cell r="B68" t="str">
            <v>/GUNDU MEGHNA GUNASHALI SUJATHA</v>
          </cell>
        </row>
        <row r="69">
          <cell r="A69" t="str">
            <v>MMS18-20/068</v>
          </cell>
          <cell r="B69" t="str">
            <v>GUPTA AAYUSH NEELKAMAL MANSHA</v>
          </cell>
        </row>
        <row r="70">
          <cell r="A70" t="str">
            <v>MMS18-20/069</v>
          </cell>
          <cell r="B70" t="str">
            <v>GUPTA PRAMOD OMPRAKASH RAMAVATI</v>
          </cell>
        </row>
        <row r="71">
          <cell r="A71" t="str">
            <v>MMS18-20/070</v>
          </cell>
          <cell r="B71" t="str">
            <v>/JADHAV SHWETA NARESH LATA</v>
          </cell>
        </row>
        <row r="72">
          <cell r="A72" t="str">
            <v>MMS18-20/071</v>
          </cell>
          <cell r="B72" t="str">
            <v>INGLE ATHARAVA SHASHIKANT SAILEE</v>
          </cell>
        </row>
        <row r="73">
          <cell r="A73" t="str">
            <v>MMS18-20/072</v>
          </cell>
          <cell r="B73" t="str">
            <v>/KEMPU VIDYA LAXMAN SHANTAMMA</v>
          </cell>
        </row>
        <row r="74">
          <cell r="A74" t="str">
            <v>MMS18-20/073</v>
          </cell>
          <cell r="B74" t="str">
            <v>/KHADE VRUSHALEE SUKHADEV RAJASHREE</v>
          </cell>
        </row>
        <row r="75">
          <cell r="A75" t="str">
            <v>MMS18-20/074</v>
          </cell>
          <cell r="B75" t="str">
            <v>KUSHWAHA PRAMOD RAMSAKHA ASHA</v>
          </cell>
        </row>
        <row r="76">
          <cell r="A76" t="str">
            <v>MMS18-20/075</v>
          </cell>
          <cell r="B76" t="str">
            <v>/MAURYA NEHA JAYSHANKAR GEETA</v>
          </cell>
        </row>
        <row r="77">
          <cell r="A77" t="str">
            <v>MMS18-20/076</v>
          </cell>
          <cell r="B77" t="str">
            <v>PANCHAL SWAPNIL SATYAWAN MANASI</v>
          </cell>
        </row>
        <row r="78">
          <cell r="A78" t="str">
            <v>MMS18-20/077</v>
          </cell>
          <cell r="B78" t="str">
            <v>/PANDYA VANESHA EDWIN SHASHMIRA</v>
          </cell>
        </row>
        <row r="79">
          <cell r="A79" t="str">
            <v>MMS18-20/078</v>
          </cell>
          <cell r="B79" t="str">
            <v xml:space="preserve">PATEKAR RUPESH GANESH MANJULA </v>
          </cell>
        </row>
        <row r="80">
          <cell r="A80" t="str">
            <v>MMS18-20/079</v>
          </cell>
          <cell r="B80" t="str">
            <v>PATEL PRAGNESH KISHORBHAI DAMYANTIBEN</v>
          </cell>
        </row>
        <row r="81">
          <cell r="A81" t="str">
            <v>MMS18-20/080</v>
          </cell>
          <cell r="B81" t="str">
            <v>/PATIL CHAITALEE NARESH NAMITA</v>
          </cell>
        </row>
        <row r="82">
          <cell r="A82" t="str">
            <v>MMS18-20/081</v>
          </cell>
          <cell r="B82" t="str">
            <v>/PEDNEKAR MADHUGANDHA DILIP DEEPALI</v>
          </cell>
        </row>
        <row r="83">
          <cell r="A83" t="str">
            <v>MMS18-20/082</v>
          </cell>
          <cell r="B83" t="str">
            <v>/PHANSE SAILEE VINOD LEELA</v>
          </cell>
        </row>
        <row r="84">
          <cell r="A84" t="str">
            <v>MMS18-20/083</v>
          </cell>
          <cell r="B84" t="str">
            <v>PRASAD ROHAN RAJENDRA RAJKUMARI</v>
          </cell>
        </row>
        <row r="85">
          <cell r="A85" t="str">
            <v>MMS18-20/084</v>
          </cell>
          <cell r="B85" t="str">
            <v>RAI JAYESH RAVINDRANATH DIVYA</v>
          </cell>
        </row>
        <row r="86">
          <cell r="A86" t="str">
            <v>MMS18-20/085</v>
          </cell>
          <cell r="B86" t="str">
            <v>/RANE ASHWINI SANTOSH SAVITA</v>
          </cell>
        </row>
        <row r="87">
          <cell r="A87" t="str">
            <v>MMS18-20/086</v>
          </cell>
          <cell r="B87" t="str">
            <v>/RANE MAYURI SUHAS ARCHANA</v>
          </cell>
        </row>
        <row r="88">
          <cell r="A88" t="str">
            <v>MMS18-20/087</v>
          </cell>
          <cell r="B88" t="str">
            <v>/RAORANE SAINI SATISH SANCHITA</v>
          </cell>
        </row>
        <row r="89">
          <cell r="A89" t="str">
            <v>MMS18-20/088</v>
          </cell>
          <cell r="B89" t="str">
            <v>RATHOD OMKAR PANDIT DEVIKA</v>
          </cell>
        </row>
        <row r="90">
          <cell r="A90" t="str">
            <v>MMS18-20/089</v>
          </cell>
          <cell r="B90" t="str">
            <v>SANGLE SINDHANT NAVANATH PRATIBHA</v>
          </cell>
        </row>
        <row r="91">
          <cell r="A91" t="str">
            <v>MMS18-20/090</v>
          </cell>
          <cell r="B91" t="str">
            <v>/SARMALKAR SANIKA SUNILDATTA MANISHA</v>
          </cell>
        </row>
        <row r="92">
          <cell r="A92" t="str">
            <v>MMS18-20/091</v>
          </cell>
          <cell r="B92" t="str">
            <v>/SATAM NEHA ANIL ASMITA</v>
          </cell>
        </row>
        <row r="93">
          <cell r="A93" t="str">
            <v>MMS18-20/092</v>
          </cell>
          <cell r="B93" t="str">
            <v>SAWANT AVADHUT RAJAN SHRADDHA</v>
          </cell>
        </row>
        <row r="94">
          <cell r="A94" t="str">
            <v>MMS18-20/093</v>
          </cell>
          <cell r="B94" t="str">
            <v>/SHARMA PALAK PRAHLAD MRIDULA</v>
          </cell>
        </row>
        <row r="95">
          <cell r="A95" t="str">
            <v>MMS18-20/094</v>
          </cell>
          <cell r="B95" t="str">
            <v>/SHETTY SHIFALI PRASHANT ASHALATA</v>
          </cell>
        </row>
        <row r="96">
          <cell r="A96" t="str">
            <v>MMS18-20/095</v>
          </cell>
          <cell r="B96" t="str">
            <v>SHINDE AKSHAY SURENDRA SUPRIYA</v>
          </cell>
        </row>
        <row r="97">
          <cell r="A97" t="str">
            <v>MMS18-20/096</v>
          </cell>
          <cell r="B97" t="str">
            <v>SHINDE ASHUTOSH BHASKAR BHAVANA</v>
          </cell>
        </row>
        <row r="98">
          <cell r="A98" t="str">
            <v>MMS18-20/097</v>
          </cell>
          <cell r="B98" t="str">
            <v>SHINDE NIKHIL KRISHNAT MANISHA</v>
          </cell>
        </row>
        <row r="99">
          <cell r="A99" t="str">
            <v>MMS18-20/098</v>
          </cell>
          <cell r="B99" t="str">
            <v>SHINDE SAIRAJ VIKAS SHRADHA</v>
          </cell>
        </row>
        <row r="100">
          <cell r="A100" t="str">
            <v>MMS18-20/099</v>
          </cell>
          <cell r="B100" t="str">
            <v>SHINDE SURAJ SHASHIKANT SHOBHA</v>
          </cell>
        </row>
        <row r="101">
          <cell r="A101" t="str">
            <v>MMS18-20/100</v>
          </cell>
          <cell r="B101" t="str">
            <v>SHITYALKAR SHUBHAM DHONDIBA SHALAN</v>
          </cell>
        </row>
        <row r="102">
          <cell r="A102" t="str">
            <v>MMS18-20/101</v>
          </cell>
          <cell r="B102" t="str">
            <v>/SHIVKAR PRIYANKA JANARDHAN REKHA</v>
          </cell>
        </row>
        <row r="103">
          <cell r="A103" t="str">
            <v>MMS18-20/102</v>
          </cell>
          <cell r="B103" t="str">
            <v>SHRIGADI ROHIT DHARMENDRA RUPA</v>
          </cell>
        </row>
        <row r="104">
          <cell r="A104" t="str">
            <v>MMS18-20/103</v>
          </cell>
          <cell r="B104" t="str">
            <v>SINGH PRATIK SANJAY MEENA</v>
          </cell>
        </row>
        <row r="105">
          <cell r="A105" t="str">
            <v>MMS18-20/104</v>
          </cell>
          <cell r="B105" t="str">
            <v>/SINGH VARSHA GURUPRASAD VEENA</v>
          </cell>
        </row>
        <row r="106">
          <cell r="A106" t="str">
            <v>MMS18-20/105</v>
          </cell>
          <cell r="B106" t="str">
            <v>SOLANKI PRAKASH RAMESH SUREKHA</v>
          </cell>
        </row>
        <row r="107">
          <cell r="A107" t="str">
            <v>MMS18-20/106</v>
          </cell>
          <cell r="B107" t="str">
            <v>/SURYAVANSHI MAYURI DILIP BHAGIRATHI</v>
          </cell>
        </row>
        <row r="108">
          <cell r="A108" t="str">
            <v>MMS18-20/107</v>
          </cell>
          <cell r="B108" t="str">
            <v>/SWAMY VIOLET BENEDICT JULIET</v>
          </cell>
        </row>
        <row r="109">
          <cell r="A109" t="str">
            <v>MMS18-20/108</v>
          </cell>
          <cell r="B109" t="str">
            <v xml:space="preserve">TAKKE SAIRAJ SURESH SHRUTIKA </v>
          </cell>
        </row>
        <row r="110">
          <cell r="A110" t="str">
            <v>MMS18-20/109</v>
          </cell>
          <cell r="B110" t="str">
            <v>/TALELE BHOOMA GHANASHYAM KALPANA</v>
          </cell>
        </row>
        <row r="111">
          <cell r="A111" t="str">
            <v>MMS18-20/110</v>
          </cell>
          <cell r="B111" t="str">
            <v>THOOLKAR SAMEER ARVIND KIRAN</v>
          </cell>
        </row>
        <row r="112">
          <cell r="A112" t="str">
            <v>MMS18-20/111</v>
          </cell>
          <cell r="B112" t="str">
            <v>TIWARI VIKAS CHINTAMANI SHAILA</v>
          </cell>
        </row>
        <row r="113">
          <cell r="A113" t="str">
            <v>MMS18-20/112</v>
          </cell>
          <cell r="B113" t="str">
            <v>TREHAN VILAKSHAN SUMAN NEENA</v>
          </cell>
        </row>
        <row r="114">
          <cell r="A114" t="str">
            <v>MMS18-20/113</v>
          </cell>
          <cell r="B114" t="str">
            <v>VHAVALE YOGESH VIJANAND ANITA</v>
          </cell>
        </row>
        <row r="115">
          <cell r="A115" t="str">
            <v>MMS18-20/114</v>
          </cell>
          <cell r="B115" t="str">
            <v>/VICHARE SAMRUDHI SANJAY VAIBHAVI</v>
          </cell>
        </row>
        <row r="116">
          <cell r="A116" t="str">
            <v>MMS18-20/115</v>
          </cell>
          <cell r="B116" t="str">
            <v>/WAGHMARE SHEETAL SURYAKANT SUNANDA</v>
          </cell>
        </row>
        <row r="117">
          <cell r="A117" t="str">
            <v>MMS18-20/116</v>
          </cell>
          <cell r="B117" t="str">
            <v>WANI SHUBHAM RAJENDRA  JYOTI</v>
          </cell>
        </row>
        <row r="118">
          <cell r="A118" t="str">
            <v>MMS18-20/117</v>
          </cell>
          <cell r="B118" t="str">
            <v>/YADAV ANKITA OMPRAKASH SHASHANK DEVI</v>
          </cell>
        </row>
        <row r="119">
          <cell r="A119" t="str">
            <v>MMS18-20/118</v>
          </cell>
          <cell r="B119" t="str">
            <v>YADAV ANUSH MAHANTA MALTI</v>
          </cell>
        </row>
        <row r="120">
          <cell r="A120" t="str">
            <v>MMS18-20/119</v>
          </cell>
          <cell r="B120" t="str">
            <v>/YADAV SUMAN RAMJEET SAVITRIDEVI</v>
          </cell>
        </row>
        <row r="121">
          <cell r="A121" t="str">
            <v>MMS18-20/120</v>
          </cell>
          <cell r="B121" t="str">
            <v>*** (NOT AVAILABLE) ***</v>
          </cell>
        </row>
        <row r="122">
          <cell r="A122" t="str">
            <v>MMS18-20/121</v>
          </cell>
          <cell r="B122" t="str">
            <v>*** (NOT AVAILABLE) ***</v>
          </cell>
        </row>
        <row r="123">
          <cell r="A123" t="str">
            <v>MMS18-20/122</v>
          </cell>
          <cell r="B123" t="str">
            <v>*** (NOT AVAILABLE) ***</v>
          </cell>
        </row>
        <row r="124">
          <cell r="A124" t="str">
            <v>MMS18-20/123</v>
          </cell>
          <cell r="B124" t="str">
            <v>*** (NOT AVAILABLE) ***</v>
          </cell>
        </row>
        <row r="125">
          <cell r="A125" t="str">
            <v>MMS18-20/124</v>
          </cell>
          <cell r="B125" t="str">
            <v>*** (NOT AVAILABLE) ***</v>
          </cell>
        </row>
        <row r="126">
          <cell r="A126" t="str">
            <v>MMS18-20/125</v>
          </cell>
          <cell r="B126" t="str">
            <v>*** (NOT AVAILABLE) ***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st Subject"/>
    </sheetNames>
    <sheetDataSet>
      <sheetData sheetId="0">
        <row r="3">
          <cell r="C3">
            <v>10</v>
          </cell>
          <cell r="D3">
            <v>60</v>
          </cell>
        </row>
        <row r="4">
          <cell r="C4">
            <v>19</v>
          </cell>
          <cell r="D4">
            <v>29</v>
          </cell>
        </row>
        <row r="5">
          <cell r="C5">
            <v>32</v>
          </cell>
          <cell r="D5">
            <v>20</v>
          </cell>
        </row>
        <row r="6">
          <cell r="C6">
            <v>31</v>
          </cell>
          <cell r="D6">
            <v>41</v>
          </cell>
        </row>
        <row r="7">
          <cell r="C7">
            <v>35</v>
          </cell>
          <cell r="D7">
            <v>55</v>
          </cell>
        </row>
        <row r="8">
          <cell r="C8">
            <v>32</v>
          </cell>
          <cell r="D8">
            <v>39</v>
          </cell>
        </row>
        <row r="9">
          <cell r="C9">
            <v>30</v>
          </cell>
          <cell r="D9">
            <v>41</v>
          </cell>
        </row>
        <row r="10">
          <cell r="C10">
            <v>35</v>
          </cell>
          <cell r="D10">
            <v>55</v>
          </cell>
        </row>
        <row r="11">
          <cell r="C11">
            <v>27</v>
          </cell>
          <cell r="D11">
            <v>40</v>
          </cell>
        </row>
        <row r="12">
          <cell r="C12">
            <v>31</v>
          </cell>
          <cell r="D12">
            <v>38</v>
          </cell>
        </row>
        <row r="13">
          <cell r="C13">
            <v>28</v>
          </cell>
          <cell r="D13">
            <v>37</v>
          </cell>
        </row>
        <row r="14">
          <cell r="C14">
            <v>30</v>
          </cell>
          <cell r="D14">
            <v>40</v>
          </cell>
        </row>
        <row r="15">
          <cell r="C15">
            <v>25</v>
          </cell>
          <cell r="D15">
            <v>35</v>
          </cell>
        </row>
        <row r="16">
          <cell r="C16">
            <v>32</v>
          </cell>
          <cell r="D16">
            <v>42</v>
          </cell>
        </row>
        <row r="17">
          <cell r="C17">
            <v>31</v>
          </cell>
          <cell r="D17">
            <v>45</v>
          </cell>
        </row>
        <row r="18">
          <cell r="C18">
            <v>33</v>
          </cell>
          <cell r="D18">
            <v>36</v>
          </cell>
        </row>
        <row r="19">
          <cell r="C19">
            <v>32</v>
          </cell>
          <cell r="D19">
            <v>39</v>
          </cell>
        </row>
        <row r="20">
          <cell r="C20">
            <v>30</v>
          </cell>
          <cell r="D20">
            <v>41</v>
          </cell>
        </row>
        <row r="21">
          <cell r="C21">
            <v>29</v>
          </cell>
          <cell r="D21">
            <v>46</v>
          </cell>
        </row>
        <row r="22">
          <cell r="C22">
            <v>27</v>
          </cell>
          <cell r="D22">
            <v>40</v>
          </cell>
        </row>
        <row r="23">
          <cell r="C23">
            <v>31</v>
          </cell>
          <cell r="D23">
            <v>38</v>
          </cell>
        </row>
        <row r="24">
          <cell r="C24">
            <v>0</v>
          </cell>
          <cell r="D24">
            <v>0</v>
          </cell>
        </row>
        <row r="25">
          <cell r="C25">
            <v>30</v>
          </cell>
          <cell r="D25">
            <v>40</v>
          </cell>
        </row>
        <row r="26">
          <cell r="C26">
            <v>25</v>
          </cell>
          <cell r="D26">
            <v>35</v>
          </cell>
        </row>
        <row r="27">
          <cell r="C27">
            <v>32</v>
          </cell>
          <cell r="D27">
            <v>42</v>
          </cell>
        </row>
        <row r="28">
          <cell r="C28">
            <v>31</v>
          </cell>
          <cell r="D28">
            <v>45</v>
          </cell>
        </row>
        <row r="29">
          <cell r="C29">
            <v>33</v>
          </cell>
          <cell r="D29">
            <v>36</v>
          </cell>
        </row>
        <row r="30">
          <cell r="C30">
            <v>32</v>
          </cell>
          <cell r="D30">
            <v>39</v>
          </cell>
        </row>
        <row r="31">
          <cell r="C31">
            <v>30</v>
          </cell>
          <cell r="D31">
            <v>41</v>
          </cell>
        </row>
        <row r="32">
          <cell r="C32">
            <v>29</v>
          </cell>
          <cell r="D32">
            <v>46</v>
          </cell>
        </row>
        <row r="33">
          <cell r="C33">
            <v>27</v>
          </cell>
          <cell r="D33">
            <v>40</v>
          </cell>
        </row>
        <row r="34">
          <cell r="C34">
            <v>31</v>
          </cell>
          <cell r="D34">
            <v>38</v>
          </cell>
        </row>
        <row r="35">
          <cell r="C35">
            <v>28</v>
          </cell>
          <cell r="D35">
            <v>37</v>
          </cell>
        </row>
        <row r="36">
          <cell r="C36">
            <v>30</v>
          </cell>
          <cell r="D36">
            <v>40</v>
          </cell>
        </row>
        <row r="37">
          <cell r="C37">
            <v>25</v>
          </cell>
          <cell r="D37">
            <v>35</v>
          </cell>
        </row>
        <row r="38">
          <cell r="C38">
            <v>32</v>
          </cell>
          <cell r="D38">
            <v>42</v>
          </cell>
        </row>
        <row r="39">
          <cell r="C39">
            <v>31</v>
          </cell>
          <cell r="D39">
            <v>45</v>
          </cell>
        </row>
        <row r="40">
          <cell r="C40">
            <v>33</v>
          </cell>
          <cell r="D40">
            <v>36</v>
          </cell>
        </row>
        <row r="41">
          <cell r="C41">
            <v>32</v>
          </cell>
          <cell r="D41">
            <v>39</v>
          </cell>
        </row>
        <row r="42">
          <cell r="C42">
            <v>30</v>
          </cell>
          <cell r="D42">
            <v>41</v>
          </cell>
        </row>
        <row r="43">
          <cell r="C43">
            <v>29</v>
          </cell>
          <cell r="D43">
            <v>46</v>
          </cell>
        </row>
        <row r="44">
          <cell r="C44">
            <v>27</v>
          </cell>
          <cell r="D44">
            <v>40</v>
          </cell>
        </row>
        <row r="45">
          <cell r="C45">
            <v>0</v>
          </cell>
          <cell r="D45">
            <v>0</v>
          </cell>
        </row>
        <row r="46">
          <cell r="C46">
            <v>28</v>
          </cell>
          <cell r="D46">
            <v>37</v>
          </cell>
        </row>
        <row r="47">
          <cell r="C47">
            <v>30</v>
          </cell>
          <cell r="D47">
            <v>40</v>
          </cell>
        </row>
        <row r="48">
          <cell r="C48">
            <v>25</v>
          </cell>
          <cell r="D48">
            <v>35</v>
          </cell>
        </row>
        <row r="49">
          <cell r="C49">
            <v>32</v>
          </cell>
          <cell r="D49">
            <v>42</v>
          </cell>
        </row>
        <row r="50">
          <cell r="C50">
            <v>31</v>
          </cell>
          <cell r="D50">
            <v>45</v>
          </cell>
        </row>
        <row r="51">
          <cell r="C51">
            <v>33</v>
          </cell>
          <cell r="D51">
            <v>36</v>
          </cell>
        </row>
        <row r="52">
          <cell r="C52">
            <v>32</v>
          </cell>
          <cell r="D52">
            <v>39</v>
          </cell>
        </row>
        <row r="53">
          <cell r="C53">
            <v>30</v>
          </cell>
          <cell r="D53">
            <v>41</v>
          </cell>
        </row>
        <row r="54">
          <cell r="C54">
            <v>29</v>
          </cell>
          <cell r="D54">
            <v>46</v>
          </cell>
        </row>
        <row r="55">
          <cell r="C55">
            <v>27</v>
          </cell>
          <cell r="D55">
            <v>40</v>
          </cell>
        </row>
        <row r="56">
          <cell r="C56">
            <v>31</v>
          </cell>
          <cell r="D56">
            <v>38</v>
          </cell>
        </row>
        <row r="57">
          <cell r="C57">
            <v>28</v>
          </cell>
          <cell r="D57">
            <v>37</v>
          </cell>
        </row>
        <row r="58">
          <cell r="C58">
            <v>30</v>
          </cell>
          <cell r="D58">
            <v>40</v>
          </cell>
        </row>
        <row r="59">
          <cell r="C59">
            <v>25</v>
          </cell>
          <cell r="D59">
            <v>35</v>
          </cell>
        </row>
        <row r="60">
          <cell r="C60">
            <v>32</v>
          </cell>
          <cell r="D60">
            <v>42</v>
          </cell>
        </row>
        <row r="61">
          <cell r="C61">
            <v>31</v>
          </cell>
          <cell r="D61">
            <v>45</v>
          </cell>
        </row>
        <row r="62">
          <cell r="C62">
            <v>33</v>
          </cell>
          <cell r="D62">
            <v>36</v>
          </cell>
        </row>
        <row r="63">
          <cell r="C63">
            <v>32</v>
          </cell>
          <cell r="D63">
            <v>39</v>
          </cell>
        </row>
        <row r="64">
          <cell r="C64">
            <v>30</v>
          </cell>
          <cell r="D64">
            <v>41</v>
          </cell>
        </row>
        <row r="65">
          <cell r="C65">
            <v>29</v>
          </cell>
          <cell r="D65">
            <v>46</v>
          </cell>
        </row>
        <row r="66">
          <cell r="C66">
            <v>27</v>
          </cell>
          <cell r="D66">
            <v>40</v>
          </cell>
        </row>
        <row r="67">
          <cell r="C67">
            <v>31</v>
          </cell>
          <cell r="D67">
            <v>38</v>
          </cell>
        </row>
        <row r="68">
          <cell r="C68">
            <v>28</v>
          </cell>
          <cell r="D68">
            <v>37</v>
          </cell>
        </row>
        <row r="69">
          <cell r="C69">
            <v>30</v>
          </cell>
          <cell r="D69">
            <v>40</v>
          </cell>
        </row>
        <row r="70">
          <cell r="C70">
            <v>25</v>
          </cell>
          <cell r="D70">
            <v>35</v>
          </cell>
        </row>
        <row r="71">
          <cell r="C71">
            <v>32</v>
          </cell>
          <cell r="D71">
            <v>42</v>
          </cell>
        </row>
        <row r="72">
          <cell r="C72">
            <v>31</v>
          </cell>
          <cell r="D72">
            <v>45</v>
          </cell>
        </row>
        <row r="73">
          <cell r="C73">
            <v>33</v>
          </cell>
          <cell r="D73">
            <v>36</v>
          </cell>
        </row>
        <row r="74">
          <cell r="C74">
            <v>32</v>
          </cell>
          <cell r="D74">
            <v>39</v>
          </cell>
        </row>
        <row r="75">
          <cell r="C75">
            <v>30</v>
          </cell>
          <cell r="D75">
            <v>41</v>
          </cell>
        </row>
        <row r="76">
          <cell r="C76">
            <v>29</v>
          </cell>
          <cell r="D76">
            <v>46</v>
          </cell>
        </row>
        <row r="77">
          <cell r="C77">
            <v>27</v>
          </cell>
          <cell r="D77">
            <v>40</v>
          </cell>
        </row>
        <row r="78">
          <cell r="C78">
            <v>31</v>
          </cell>
          <cell r="D78">
            <v>38</v>
          </cell>
        </row>
        <row r="79">
          <cell r="C79">
            <v>28</v>
          </cell>
          <cell r="D79">
            <v>37</v>
          </cell>
        </row>
        <row r="80">
          <cell r="C80">
            <v>30</v>
          </cell>
          <cell r="D80">
            <v>40</v>
          </cell>
        </row>
        <row r="81">
          <cell r="C81">
            <v>25</v>
          </cell>
          <cell r="D81">
            <v>35</v>
          </cell>
        </row>
        <row r="82">
          <cell r="C82">
            <v>32</v>
          </cell>
          <cell r="D82">
            <v>42</v>
          </cell>
        </row>
        <row r="83">
          <cell r="C83">
            <v>31</v>
          </cell>
          <cell r="D83">
            <v>45</v>
          </cell>
        </row>
        <row r="84">
          <cell r="C84">
            <v>33</v>
          </cell>
          <cell r="D84">
            <v>36</v>
          </cell>
        </row>
        <row r="85">
          <cell r="C85">
            <v>32</v>
          </cell>
          <cell r="D85">
            <v>39</v>
          </cell>
        </row>
        <row r="86">
          <cell r="C86">
            <v>30</v>
          </cell>
          <cell r="D86">
            <v>41</v>
          </cell>
        </row>
        <row r="87">
          <cell r="C87">
            <v>29</v>
          </cell>
          <cell r="D87">
            <v>46</v>
          </cell>
        </row>
        <row r="88">
          <cell r="C88">
            <v>27</v>
          </cell>
          <cell r="D88">
            <v>40</v>
          </cell>
        </row>
        <row r="89">
          <cell r="C89">
            <v>31</v>
          </cell>
          <cell r="D89">
            <v>38</v>
          </cell>
        </row>
        <row r="90">
          <cell r="C90">
            <v>28</v>
          </cell>
          <cell r="D90">
            <v>37</v>
          </cell>
        </row>
        <row r="91">
          <cell r="C91">
            <v>30</v>
          </cell>
          <cell r="D91">
            <v>40</v>
          </cell>
        </row>
        <row r="92">
          <cell r="C92">
            <v>25</v>
          </cell>
          <cell r="D92">
            <v>35</v>
          </cell>
        </row>
        <row r="93">
          <cell r="C93">
            <v>32</v>
          </cell>
          <cell r="D93">
            <v>42</v>
          </cell>
        </row>
        <row r="94">
          <cell r="C94">
            <v>31</v>
          </cell>
          <cell r="D94">
            <v>45</v>
          </cell>
        </row>
        <row r="95">
          <cell r="C95">
            <v>33</v>
          </cell>
          <cell r="D95">
            <v>36</v>
          </cell>
        </row>
        <row r="96">
          <cell r="C96">
            <v>32</v>
          </cell>
          <cell r="D96">
            <v>39</v>
          </cell>
        </row>
        <row r="97">
          <cell r="C97">
            <v>30</v>
          </cell>
          <cell r="D97">
            <v>41</v>
          </cell>
        </row>
        <row r="98">
          <cell r="C98">
            <v>29</v>
          </cell>
          <cell r="D98">
            <v>46</v>
          </cell>
        </row>
        <row r="99">
          <cell r="C99">
            <v>27</v>
          </cell>
          <cell r="D99">
            <v>40</v>
          </cell>
        </row>
        <row r="100">
          <cell r="C100">
            <v>31</v>
          </cell>
          <cell r="D100">
            <v>38</v>
          </cell>
        </row>
        <row r="101">
          <cell r="C101">
            <v>28</v>
          </cell>
          <cell r="D101">
            <v>37</v>
          </cell>
        </row>
        <row r="102">
          <cell r="C102">
            <v>30</v>
          </cell>
          <cell r="D102">
            <v>40</v>
          </cell>
        </row>
        <row r="103">
          <cell r="C103">
            <v>25</v>
          </cell>
          <cell r="D103">
            <v>35</v>
          </cell>
        </row>
        <row r="104">
          <cell r="C104">
            <v>32</v>
          </cell>
          <cell r="D104">
            <v>42</v>
          </cell>
        </row>
        <row r="105">
          <cell r="C105">
            <v>31</v>
          </cell>
          <cell r="D105">
            <v>45</v>
          </cell>
        </row>
        <row r="106">
          <cell r="C106">
            <v>33</v>
          </cell>
          <cell r="D106">
            <v>36</v>
          </cell>
        </row>
        <row r="107">
          <cell r="C107">
            <v>32</v>
          </cell>
          <cell r="D107">
            <v>39</v>
          </cell>
        </row>
        <row r="108">
          <cell r="C108">
            <v>30</v>
          </cell>
          <cell r="D108">
            <v>41</v>
          </cell>
        </row>
        <row r="109">
          <cell r="C109">
            <v>29</v>
          </cell>
          <cell r="D109">
            <v>46</v>
          </cell>
        </row>
        <row r="110">
          <cell r="C110">
            <v>27</v>
          </cell>
          <cell r="D110">
            <v>40</v>
          </cell>
        </row>
        <row r="111">
          <cell r="C111">
            <v>31</v>
          </cell>
          <cell r="D111">
            <v>38</v>
          </cell>
        </row>
        <row r="112">
          <cell r="C112">
            <v>28</v>
          </cell>
          <cell r="D112">
            <v>37</v>
          </cell>
        </row>
        <row r="113">
          <cell r="C113">
            <v>30</v>
          </cell>
          <cell r="D113">
            <v>40</v>
          </cell>
        </row>
        <row r="114">
          <cell r="C114">
            <v>25</v>
          </cell>
          <cell r="D114">
            <v>35</v>
          </cell>
        </row>
        <row r="115">
          <cell r="C115">
            <v>32</v>
          </cell>
          <cell r="D115">
            <v>42</v>
          </cell>
        </row>
        <row r="116">
          <cell r="C116">
            <v>31</v>
          </cell>
          <cell r="D116">
            <v>45</v>
          </cell>
        </row>
        <row r="117">
          <cell r="C117">
            <v>33</v>
          </cell>
          <cell r="D117">
            <v>36</v>
          </cell>
        </row>
        <row r="118">
          <cell r="C118">
            <v>32</v>
          </cell>
          <cell r="D118">
            <v>39</v>
          </cell>
        </row>
        <row r="119">
          <cell r="C119">
            <v>30</v>
          </cell>
          <cell r="D119">
            <v>41</v>
          </cell>
        </row>
        <row r="120">
          <cell r="C120">
            <v>29</v>
          </cell>
          <cell r="D120">
            <v>46</v>
          </cell>
        </row>
        <row r="121">
          <cell r="C121">
            <v>27</v>
          </cell>
          <cell r="D121">
            <v>36</v>
          </cell>
        </row>
        <row r="122">
          <cell r="C122">
            <v>0</v>
          </cell>
          <cell r="D122">
            <v>0</v>
          </cell>
        </row>
        <row r="123">
          <cell r="C123">
            <v>0</v>
          </cell>
          <cell r="D123">
            <v>0</v>
          </cell>
        </row>
        <row r="124">
          <cell r="C124">
            <v>0</v>
          </cell>
          <cell r="D124">
            <v>0</v>
          </cell>
        </row>
        <row r="125">
          <cell r="C125">
            <v>0</v>
          </cell>
          <cell r="D125">
            <v>0</v>
          </cell>
        </row>
        <row r="126">
          <cell r="C126">
            <v>0</v>
          </cell>
          <cell r="D126">
            <v>0</v>
          </cell>
        </row>
        <row r="127">
          <cell r="C127">
            <v>0</v>
          </cell>
          <cell r="D127">
            <v>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nd Subject"/>
    </sheetNames>
    <sheetDataSet>
      <sheetData sheetId="0">
        <row r="3">
          <cell r="C3">
            <v>38</v>
          </cell>
          <cell r="D3">
            <v>56</v>
          </cell>
        </row>
        <row r="4">
          <cell r="C4">
            <v>25</v>
          </cell>
          <cell r="D4">
            <v>35</v>
          </cell>
        </row>
        <row r="5">
          <cell r="C5">
            <v>32</v>
          </cell>
          <cell r="D5">
            <v>42</v>
          </cell>
        </row>
        <row r="6">
          <cell r="C6">
            <v>31</v>
          </cell>
          <cell r="D6">
            <v>45</v>
          </cell>
        </row>
        <row r="7">
          <cell r="C7">
            <v>33</v>
          </cell>
          <cell r="D7">
            <v>36</v>
          </cell>
        </row>
        <row r="8">
          <cell r="C8">
            <v>32</v>
          </cell>
          <cell r="D8">
            <v>39</v>
          </cell>
        </row>
        <row r="9">
          <cell r="C9">
            <v>30</v>
          </cell>
          <cell r="D9">
            <v>41</v>
          </cell>
        </row>
        <row r="10">
          <cell r="C10">
            <v>29</v>
          </cell>
          <cell r="D10">
            <v>46</v>
          </cell>
        </row>
        <row r="11">
          <cell r="C11">
            <v>27</v>
          </cell>
          <cell r="D11">
            <v>40</v>
          </cell>
        </row>
        <row r="12">
          <cell r="C12">
            <v>31</v>
          </cell>
          <cell r="D12">
            <v>38</v>
          </cell>
        </row>
        <row r="13">
          <cell r="C13">
            <v>28</v>
          </cell>
          <cell r="D13">
            <v>37</v>
          </cell>
        </row>
        <row r="14">
          <cell r="C14">
            <v>30</v>
          </cell>
          <cell r="D14">
            <v>40</v>
          </cell>
        </row>
        <row r="15">
          <cell r="C15">
            <v>25</v>
          </cell>
          <cell r="D15">
            <v>35</v>
          </cell>
        </row>
        <row r="16">
          <cell r="C16">
            <v>32</v>
          </cell>
          <cell r="D16">
            <v>42</v>
          </cell>
        </row>
        <row r="17">
          <cell r="C17">
            <v>31</v>
          </cell>
          <cell r="D17">
            <v>45</v>
          </cell>
        </row>
        <row r="18">
          <cell r="C18">
            <v>33</v>
          </cell>
          <cell r="D18">
            <v>36</v>
          </cell>
        </row>
        <row r="19">
          <cell r="C19">
            <v>32</v>
          </cell>
          <cell r="D19">
            <v>39</v>
          </cell>
        </row>
        <row r="20">
          <cell r="C20">
            <v>30</v>
          </cell>
          <cell r="D20">
            <v>41</v>
          </cell>
        </row>
        <row r="21">
          <cell r="C21">
            <v>29</v>
          </cell>
          <cell r="D21">
            <v>46</v>
          </cell>
        </row>
        <row r="22">
          <cell r="C22">
            <v>27</v>
          </cell>
          <cell r="D22">
            <v>40</v>
          </cell>
        </row>
        <row r="23">
          <cell r="C23">
            <v>31</v>
          </cell>
          <cell r="D23">
            <v>38</v>
          </cell>
        </row>
        <row r="24">
          <cell r="C24">
            <v>0</v>
          </cell>
          <cell r="D24">
            <v>0</v>
          </cell>
        </row>
        <row r="25">
          <cell r="C25">
            <v>30</v>
          </cell>
          <cell r="D25">
            <v>40</v>
          </cell>
        </row>
        <row r="26">
          <cell r="C26">
            <v>25</v>
          </cell>
          <cell r="D26">
            <v>35</v>
          </cell>
        </row>
        <row r="27">
          <cell r="C27">
            <v>32</v>
          </cell>
          <cell r="D27">
            <v>42</v>
          </cell>
        </row>
        <row r="28">
          <cell r="C28">
            <v>31</v>
          </cell>
          <cell r="D28">
            <v>45</v>
          </cell>
        </row>
        <row r="29">
          <cell r="C29">
            <v>33</v>
          </cell>
          <cell r="D29">
            <v>36</v>
          </cell>
        </row>
        <row r="30">
          <cell r="C30">
            <v>32</v>
          </cell>
          <cell r="D30">
            <v>39</v>
          </cell>
        </row>
        <row r="31">
          <cell r="C31">
            <v>30</v>
          </cell>
          <cell r="D31">
            <v>41</v>
          </cell>
        </row>
        <row r="32">
          <cell r="C32">
            <v>29</v>
          </cell>
          <cell r="D32">
            <v>46</v>
          </cell>
        </row>
        <row r="33">
          <cell r="C33">
            <v>27</v>
          </cell>
          <cell r="D33">
            <v>40</v>
          </cell>
        </row>
        <row r="34">
          <cell r="C34">
            <v>31</v>
          </cell>
          <cell r="D34">
            <v>38</v>
          </cell>
        </row>
        <row r="35">
          <cell r="C35">
            <v>28</v>
          </cell>
          <cell r="D35">
            <v>37</v>
          </cell>
        </row>
        <row r="36">
          <cell r="C36">
            <v>30</v>
          </cell>
          <cell r="D36">
            <v>40</v>
          </cell>
        </row>
        <row r="37">
          <cell r="C37">
            <v>25</v>
          </cell>
          <cell r="D37">
            <v>35</v>
          </cell>
        </row>
        <row r="38">
          <cell r="C38">
            <v>32</v>
          </cell>
          <cell r="D38">
            <v>42</v>
          </cell>
        </row>
        <row r="39">
          <cell r="C39">
            <v>31</v>
          </cell>
          <cell r="D39">
            <v>45</v>
          </cell>
        </row>
        <row r="40">
          <cell r="C40">
            <v>33</v>
          </cell>
          <cell r="D40">
            <v>36</v>
          </cell>
        </row>
        <row r="41">
          <cell r="C41">
            <v>32</v>
          </cell>
          <cell r="D41">
            <v>39</v>
          </cell>
        </row>
        <row r="42">
          <cell r="C42">
            <v>30</v>
          </cell>
          <cell r="D42">
            <v>41</v>
          </cell>
        </row>
        <row r="43">
          <cell r="C43">
            <v>29</v>
          </cell>
          <cell r="D43">
            <v>46</v>
          </cell>
        </row>
        <row r="44">
          <cell r="C44">
            <v>27</v>
          </cell>
          <cell r="D44">
            <v>40</v>
          </cell>
        </row>
        <row r="45">
          <cell r="C45">
            <v>0</v>
          </cell>
          <cell r="D45">
            <v>0</v>
          </cell>
        </row>
        <row r="46">
          <cell r="C46">
            <v>28</v>
          </cell>
          <cell r="D46">
            <v>37</v>
          </cell>
        </row>
        <row r="47">
          <cell r="C47">
            <v>30</v>
          </cell>
          <cell r="D47">
            <v>40</v>
          </cell>
        </row>
        <row r="48">
          <cell r="C48">
            <v>25</v>
          </cell>
          <cell r="D48">
            <v>35</v>
          </cell>
        </row>
        <row r="49">
          <cell r="C49">
            <v>32</v>
          </cell>
          <cell r="D49">
            <v>42</v>
          </cell>
        </row>
        <row r="50">
          <cell r="C50">
            <v>31</v>
          </cell>
          <cell r="D50">
            <v>45</v>
          </cell>
        </row>
        <row r="51">
          <cell r="C51">
            <v>33</v>
          </cell>
          <cell r="D51">
            <v>36</v>
          </cell>
        </row>
        <row r="52">
          <cell r="C52">
            <v>32</v>
          </cell>
          <cell r="D52">
            <v>39</v>
          </cell>
        </row>
        <row r="53">
          <cell r="C53">
            <v>30</v>
          </cell>
          <cell r="D53">
            <v>41</v>
          </cell>
        </row>
        <row r="54">
          <cell r="C54">
            <v>29</v>
          </cell>
          <cell r="D54">
            <v>46</v>
          </cell>
        </row>
        <row r="55">
          <cell r="C55">
            <v>27</v>
          </cell>
          <cell r="D55">
            <v>40</v>
          </cell>
        </row>
        <row r="56">
          <cell r="C56">
            <v>31</v>
          </cell>
          <cell r="D56">
            <v>38</v>
          </cell>
        </row>
        <row r="57">
          <cell r="C57">
            <v>28</v>
          </cell>
          <cell r="D57">
            <v>37</v>
          </cell>
        </row>
        <row r="58">
          <cell r="C58">
            <v>30</v>
          </cell>
          <cell r="D58">
            <v>40</v>
          </cell>
        </row>
        <row r="59">
          <cell r="C59">
            <v>25</v>
          </cell>
          <cell r="D59">
            <v>35</v>
          </cell>
        </row>
        <row r="60">
          <cell r="C60">
            <v>32</v>
          </cell>
          <cell r="D60">
            <v>42</v>
          </cell>
        </row>
        <row r="61">
          <cell r="C61">
            <v>31</v>
          </cell>
          <cell r="D61">
            <v>45</v>
          </cell>
        </row>
        <row r="62">
          <cell r="C62">
            <v>33</v>
          </cell>
          <cell r="D62">
            <v>36</v>
          </cell>
        </row>
        <row r="63">
          <cell r="C63">
            <v>32</v>
          </cell>
          <cell r="D63">
            <v>39</v>
          </cell>
        </row>
        <row r="64">
          <cell r="C64">
            <v>30</v>
          </cell>
          <cell r="D64">
            <v>41</v>
          </cell>
        </row>
        <row r="65">
          <cell r="C65">
            <v>29</v>
          </cell>
          <cell r="D65">
            <v>46</v>
          </cell>
        </row>
        <row r="66">
          <cell r="C66">
            <v>27</v>
          </cell>
          <cell r="D66">
            <v>40</v>
          </cell>
        </row>
        <row r="67">
          <cell r="C67">
            <v>31</v>
          </cell>
          <cell r="D67">
            <v>38</v>
          </cell>
        </row>
        <row r="68">
          <cell r="C68">
            <v>28</v>
          </cell>
          <cell r="D68">
            <v>37</v>
          </cell>
        </row>
        <row r="69">
          <cell r="C69">
            <v>30</v>
          </cell>
          <cell r="D69">
            <v>40</v>
          </cell>
        </row>
        <row r="70">
          <cell r="C70">
            <v>25</v>
          </cell>
          <cell r="D70">
            <v>35</v>
          </cell>
        </row>
        <row r="71">
          <cell r="C71">
            <v>32</v>
          </cell>
          <cell r="D71">
            <v>42</v>
          </cell>
        </row>
        <row r="72">
          <cell r="C72">
            <v>31</v>
          </cell>
          <cell r="D72">
            <v>45</v>
          </cell>
        </row>
        <row r="73">
          <cell r="C73">
            <v>33</v>
          </cell>
          <cell r="D73">
            <v>36</v>
          </cell>
        </row>
        <row r="74">
          <cell r="C74">
            <v>32</v>
          </cell>
          <cell r="D74">
            <v>39</v>
          </cell>
        </row>
        <row r="75">
          <cell r="C75">
            <v>30</v>
          </cell>
          <cell r="D75">
            <v>41</v>
          </cell>
        </row>
        <row r="76">
          <cell r="C76">
            <v>29</v>
          </cell>
          <cell r="D76">
            <v>46</v>
          </cell>
        </row>
        <row r="77">
          <cell r="C77">
            <v>27</v>
          </cell>
          <cell r="D77">
            <v>40</v>
          </cell>
        </row>
        <row r="78">
          <cell r="C78">
            <v>31</v>
          </cell>
          <cell r="D78">
            <v>38</v>
          </cell>
        </row>
        <row r="79">
          <cell r="C79">
            <v>28</v>
          </cell>
          <cell r="D79">
            <v>37</v>
          </cell>
        </row>
        <row r="80">
          <cell r="C80">
            <v>30</v>
          </cell>
          <cell r="D80">
            <v>40</v>
          </cell>
        </row>
        <row r="81">
          <cell r="C81">
            <v>25</v>
          </cell>
          <cell r="D81">
            <v>35</v>
          </cell>
        </row>
        <row r="82">
          <cell r="C82">
            <v>32</v>
          </cell>
          <cell r="D82">
            <v>42</v>
          </cell>
        </row>
        <row r="83">
          <cell r="C83">
            <v>31</v>
          </cell>
          <cell r="D83">
            <v>45</v>
          </cell>
        </row>
        <row r="84">
          <cell r="C84">
            <v>33</v>
          </cell>
          <cell r="D84">
            <v>36</v>
          </cell>
        </row>
        <row r="85">
          <cell r="C85">
            <v>32</v>
          </cell>
          <cell r="D85">
            <v>39</v>
          </cell>
        </row>
        <row r="86">
          <cell r="C86">
            <v>30</v>
          </cell>
          <cell r="D86">
            <v>41</v>
          </cell>
        </row>
        <row r="87">
          <cell r="C87">
            <v>29</v>
          </cell>
          <cell r="D87">
            <v>46</v>
          </cell>
        </row>
        <row r="88">
          <cell r="C88">
            <v>27</v>
          </cell>
          <cell r="D88">
            <v>40</v>
          </cell>
        </row>
        <row r="89">
          <cell r="C89">
            <v>31</v>
          </cell>
          <cell r="D89">
            <v>38</v>
          </cell>
        </row>
        <row r="90">
          <cell r="C90">
            <v>28</v>
          </cell>
          <cell r="D90">
            <v>37</v>
          </cell>
        </row>
        <row r="91">
          <cell r="C91">
            <v>30</v>
          </cell>
          <cell r="D91">
            <v>40</v>
          </cell>
        </row>
        <row r="92">
          <cell r="C92">
            <v>25</v>
          </cell>
          <cell r="D92">
            <v>35</v>
          </cell>
        </row>
        <row r="93">
          <cell r="C93">
            <v>32</v>
          </cell>
          <cell r="D93">
            <v>42</v>
          </cell>
        </row>
        <row r="94">
          <cell r="C94">
            <v>31</v>
          </cell>
          <cell r="D94">
            <v>45</v>
          </cell>
        </row>
        <row r="95">
          <cell r="C95">
            <v>33</v>
          </cell>
          <cell r="D95">
            <v>36</v>
          </cell>
        </row>
        <row r="96">
          <cell r="C96">
            <v>32</v>
          </cell>
          <cell r="D96">
            <v>39</v>
          </cell>
        </row>
        <row r="97">
          <cell r="C97">
            <v>30</v>
          </cell>
          <cell r="D97">
            <v>41</v>
          </cell>
        </row>
        <row r="98">
          <cell r="C98">
            <v>29</v>
          </cell>
          <cell r="D98">
            <v>46</v>
          </cell>
        </row>
        <row r="99">
          <cell r="C99">
            <v>27</v>
          </cell>
          <cell r="D99">
            <v>40</v>
          </cell>
        </row>
        <row r="100">
          <cell r="C100">
            <v>31</v>
          </cell>
          <cell r="D100">
            <v>38</v>
          </cell>
        </row>
        <row r="101">
          <cell r="C101">
            <v>28</v>
          </cell>
          <cell r="D101">
            <v>37</v>
          </cell>
        </row>
        <row r="102">
          <cell r="C102">
            <v>30</v>
          </cell>
          <cell r="D102">
            <v>40</v>
          </cell>
        </row>
        <row r="103">
          <cell r="C103">
            <v>25</v>
          </cell>
          <cell r="D103">
            <v>35</v>
          </cell>
        </row>
        <row r="104">
          <cell r="C104">
            <v>32</v>
          </cell>
          <cell r="D104">
            <v>42</v>
          </cell>
        </row>
        <row r="105">
          <cell r="C105">
            <v>31</v>
          </cell>
          <cell r="D105">
            <v>45</v>
          </cell>
        </row>
        <row r="106">
          <cell r="C106">
            <v>33</v>
          </cell>
          <cell r="D106">
            <v>36</v>
          </cell>
        </row>
        <row r="107">
          <cell r="C107">
            <v>32</v>
          </cell>
          <cell r="D107">
            <v>39</v>
          </cell>
        </row>
        <row r="108">
          <cell r="C108">
            <v>30</v>
          </cell>
          <cell r="D108">
            <v>41</v>
          </cell>
        </row>
        <row r="109">
          <cell r="C109">
            <v>29</v>
          </cell>
          <cell r="D109">
            <v>46</v>
          </cell>
        </row>
        <row r="110">
          <cell r="C110">
            <v>27</v>
          </cell>
          <cell r="D110">
            <v>40</v>
          </cell>
        </row>
        <row r="111">
          <cell r="C111">
            <v>31</v>
          </cell>
          <cell r="D111">
            <v>38</v>
          </cell>
        </row>
        <row r="112">
          <cell r="C112">
            <v>28</v>
          </cell>
          <cell r="D112">
            <v>37</v>
          </cell>
        </row>
        <row r="113">
          <cell r="C113">
            <v>30</v>
          </cell>
          <cell r="D113">
            <v>40</v>
          </cell>
        </row>
        <row r="114">
          <cell r="C114">
            <v>25</v>
          </cell>
          <cell r="D114">
            <v>35</v>
          </cell>
        </row>
        <row r="115">
          <cell r="C115">
            <v>32</v>
          </cell>
          <cell r="D115">
            <v>42</v>
          </cell>
        </row>
        <row r="116">
          <cell r="C116">
            <v>31</v>
          </cell>
          <cell r="D116">
            <v>45</v>
          </cell>
        </row>
        <row r="117">
          <cell r="C117">
            <v>33</v>
          </cell>
          <cell r="D117">
            <v>36</v>
          </cell>
        </row>
        <row r="118">
          <cell r="C118">
            <v>32</v>
          </cell>
          <cell r="D118">
            <v>39</v>
          </cell>
        </row>
        <row r="119">
          <cell r="C119">
            <v>30</v>
          </cell>
          <cell r="D119">
            <v>41</v>
          </cell>
        </row>
        <row r="120">
          <cell r="C120">
            <v>29</v>
          </cell>
          <cell r="D120">
            <v>46</v>
          </cell>
        </row>
        <row r="121">
          <cell r="C121">
            <v>27</v>
          </cell>
          <cell r="D121">
            <v>40</v>
          </cell>
        </row>
        <row r="122">
          <cell r="C122">
            <v>0</v>
          </cell>
          <cell r="D122">
            <v>0</v>
          </cell>
        </row>
        <row r="123">
          <cell r="C123">
            <v>0</v>
          </cell>
          <cell r="D123">
            <v>0</v>
          </cell>
        </row>
        <row r="124">
          <cell r="C124">
            <v>0</v>
          </cell>
          <cell r="D124">
            <v>0</v>
          </cell>
        </row>
        <row r="125">
          <cell r="C125">
            <v>0</v>
          </cell>
          <cell r="D125">
            <v>0</v>
          </cell>
        </row>
        <row r="126">
          <cell r="C126">
            <v>0</v>
          </cell>
          <cell r="D126">
            <v>0</v>
          </cell>
        </row>
        <row r="127">
          <cell r="C127">
            <v>0</v>
          </cell>
          <cell r="D127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rd Subject"/>
    </sheetNames>
    <sheetDataSet>
      <sheetData sheetId="0">
        <row r="3">
          <cell r="C3">
            <v>30</v>
          </cell>
          <cell r="D3">
            <v>40</v>
          </cell>
        </row>
        <row r="4">
          <cell r="C4">
            <v>25</v>
          </cell>
          <cell r="D4">
            <v>35</v>
          </cell>
        </row>
        <row r="5">
          <cell r="C5">
            <v>32</v>
          </cell>
          <cell r="D5">
            <v>42</v>
          </cell>
        </row>
        <row r="6">
          <cell r="C6">
            <v>31</v>
          </cell>
          <cell r="D6">
            <v>45</v>
          </cell>
        </row>
        <row r="7">
          <cell r="C7">
            <v>33</v>
          </cell>
          <cell r="D7">
            <v>36</v>
          </cell>
        </row>
        <row r="8">
          <cell r="C8">
            <v>32</v>
          </cell>
          <cell r="D8">
            <v>39</v>
          </cell>
        </row>
        <row r="9">
          <cell r="C9">
            <v>30</v>
          </cell>
          <cell r="D9">
            <v>41</v>
          </cell>
        </row>
        <row r="10">
          <cell r="C10">
            <v>29</v>
          </cell>
          <cell r="D10">
            <v>46</v>
          </cell>
        </row>
        <row r="11">
          <cell r="C11">
            <v>27</v>
          </cell>
          <cell r="D11">
            <v>40</v>
          </cell>
        </row>
        <row r="12">
          <cell r="C12">
            <v>31</v>
          </cell>
          <cell r="D12">
            <v>38</v>
          </cell>
        </row>
        <row r="13">
          <cell r="C13">
            <v>28</v>
          </cell>
          <cell r="D13">
            <v>37</v>
          </cell>
        </row>
        <row r="14">
          <cell r="C14">
            <v>30</v>
          </cell>
          <cell r="D14">
            <v>40</v>
          </cell>
        </row>
        <row r="15">
          <cell r="C15">
            <v>25</v>
          </cell>
          <cell r="D15">
            <v>35</v>
          </cell>
        </row>
        <row r="16">
          <cell r="C16">
            <v>32</v>
          </cell>
          <cell r="D16">
            <v>42</v>
          </cell>
        </row>
        <row r="17">
          <cell r="C17">
            <v>31</v>
          </cell>
          <cell r="D17">
            <v>45</v>
          </cell>
        </row>
        <row r="18">
          <cell r="C18">
            <v>33</v>
          </cell>
          <cell r="D18">
            <v>36</v>
          </cell>
        </row>
        <row r="19">
          <cell r="C19">
            <v>32</v>
          </cell>
          <cell r="D19">
            <v>39</v>
          </cell>
        </row>
        <row r="20">
          <cell r="C20">
            <v>30</v>
          </cell>
          <cell r="D20">
            <v>41</v>
          </cell>
        </row>
        <row r="21">
          <cell r="C21">
            <v>29</v>
          </cell>
          <cell r="D21">
            <v>46</v>
          </cell>
        </row>
        <row r="22">
          <cell r="C22">
            <v>27</v>
          </cell>
          <cell r="D22">
            <v>40</v>
          </cell>
        </row>
        <row r="23">
          <cell r="C23">
            <v>31</v>
          </cell>
          <cell r="D23">
            <v>38</v>
          </cell>
        </row>
        <row r="24">
          <cell r="C24">
            <v>0</v>
          </cell>
          <cell r="D24">
            <v>0</v>
          </cell>
        </row>
        <row r="25">
          <cell r="C25">
            <v>30</v>
          </cell>
          <cell r="D25">
            <v>40</v>
          </cell>
        </row>
        <row r="26">
          <cell r="C26">
            <v>25</v>
          </cell>
          <cell r="D26">
            <v>35</v>
          </cell>
        </row>
        <row r="27">
          <cell r="C27">
            <v>32</v>
          </cell>
          <cell r="D27">
            <v>42</v>
          </cell>
        </row>
        <row r="28">
          <cell r="C28">
            <v>31</v>
          </cell>
          <cell r="D28">
            <v>45</v>
          </cell>
        </row>
        <row r="29">
          <cell r="C29">
            <v>33</v>
          </cell>
          <cell r="D29">
            <v>36</v>
          </cell>
        </row>
        <row r="30">
          <cell r="C30">
            <v>32</v>
          </cell>
          <cell r="D30">
            <v>39</v>
          </cell>
        </row>
        <row r="31">
          <cell r="C31">
            <v>30</v>
          </cell>
          <cell r="D31">
            <v>41</v>
          </cell>
        </row>
        <row r="32">
          <cell r="C32">
            <v>29</v>
          </cell>
          <cell r="D32">
            <v>46</v>
          </cell>
        </row>
        <row r="33">
          <cell r="C33">
            <v>27</v>
          </cell>
          <cell r="D33">
            <v>40</v>
          </cell>
        </row>
        <row r="34">
          <cell r="C34">
            <v>31</v>
          </cell>
          <cell r="D34">
            <v>38</v>
          </cell>
        </row>
        <row r="35">
          <cell r="C35">
            <v>28</v>
          </cell>
          <cell r="D35">
            <v>37</v>
          </cell>
        </row>
        <row r="36">
          <cell r="C36">
            <v>30</v>
          </cell>
          <cell r="D36">
            <v>40</v>
          </cell>
        </row>
        <row r="37">
          <cell r="C37">
            <v>25</v>
          </cell>
          <cell r="D37">
            <v>35</v>
          </cell>
        </row>
        <row r="38">
          <cell r="C38">
            <v>32</v>
          </cell>
          <cell r="D38">
            <v>42</v>
          </cell>
        </row>
        <row r="39">
          <cell r="C39">
            <v>31</v>
          </cell>
          <cell r="D39">
            <v>45</v>
          </cell>
        </row>
        <row r="40">
          <cell r="C40">
            <v>33</v>
          </cell>
          <cell r="D40">
            <v>36</v>
          </cell>
        </row>
        <row r="41">
          <cell r="C41">
            <v>32</v>
          </cell>
          <cell r="D41">
            <v>39</v>
          </cell>
        </row>
        <row r="42">
          <cell r="C42">
            <v>30</v>
          </cell>
          <cell r="D42">
            <v>41</v>
          </cell>
        </row>
        <row r="43">
          <cell r="C43">
            <v>29</v>
          </cell>
          <cell r="D43">
            <v>46</v>
          </cell>
        </row>
        <row r="44">
          <cell r="C44">
            <v>27</v>
          </cell>
          <cell r="D44">
            <v>40</v>
          </cell>
        </row>
        <row r="45">
          <cell r="C45">
            <v>0</v>
          </cell>
          <cell r="D45">
            <v>0</v>
          </cell>
        </row>
        <row r="46">
          <cell r="C46">
            <v>28</v>
          </cell>
          <cell r="D46">
            <v>37</v>
          </cell>
        </row>
        <row r="47">
          <cell r="C47">
            <v>30</v>
          </cell>
          <cell r="D47">
            <v>40</v>
          </cell>
        </row>
        <row r="48">
          <cell r="C48">
            <v>25</v>
          </cell>
          <cell r="D48">
            <v>35</v>
          </cell>
        </row>
        <row r="49">
          <cell r="C49">
            <v>32</v>
          </cell>
          <cell r="D49">
            <v>42</v>
          </cell>
        </row>
        <row r="50">
          <cell r="C50">
            <v>31</v>
          </cell>
          <cell r="D50">
            <v>45</v>
          </cell>
        </row>
        <row r="51">
          <cell r="C51">
            <v>33</v>
          </cell>
          <cell r="D51">
            <v>36</v>
          </cell>
        </row>
        <row r="52">
          <cell r="C52">
            <v>32</v>
          </cell>
          <cell r="D52">
            <v>39</v>
          </cell>
        </row>
        <row r="53">
          <cell r="C53">
            <v>30</v>
          </cell>
          <cell r="D53">
            <v>41</v>
          </cell>
        </row>
        <row r="54">
          <cell r="C54">
            <v>29</v>
          </cell>
          <cell r="D54">
            <v>46</v>
          </cell>
        </row>
        <row r="55">
          <cell r="C55">
            <v>27</v>
          </cell>
          <cell r="D55">
            <v>40</v>
          </cell>
        </row>
        <row r="56">
          <cell r="C56">
            <v>31</v>
          </cell>
          <cell r="D56">
            <v>38</v>
          </cell>
        </row>
        <row r="57">
          <cell r="C57">
            <v>28</v>
          </cell>
          <cell r="D57">
            <v>37</v>
          </cell>
        </row>
        <row r="58">
          <cell r="C58">
            <v>30</v>
          </cell>
          <cell r="D58">
            <v>40</v>
          </cell>
        </row>
        <row r="59">
          <cell r="C59">
            <v>25</v>
          </cell>
          <cell r="D59">
            <v>35</v>
          </cell>
        </row>
        <row r="60">
          <cell r="C60">
            <v>32</v>
          </cell>
          <cell r="D60">
            <v>42</v>
          </cell>
        </row>
        <row r="61">
          <cell r="C61">
            <v>31</v>
          </cell>
          <cell r="D61">
            <v>45</v>
          </cell>
        </row>
        <row r="62">
          <cell r="C62">
            <v>33</v>
          </cell>
          <cell r="D62">
            <v>36</v>
          </cell>
        </row>
        <row r="63">
          <cell r="C63">
            <v>32</v>
          </cell>
          <cell r="D63">
            <v>39</v>
          </cell>
        </row>
        <row r="64">
          <cell r="C64">
            <v>30</v>
          </cell>
          <cell r="D64">
            <v>41</v>
          </cell>
        </row>
        <row r="65">
          <cell r="C65">
            <v>29</v>
          </cell>
          <cell r="D65">
            <v>46</v>
          </cell>
        </row>
        <row r="66">
          <cell r="C66">
            <v>27</v>
          </cell>
          <cell r="D66">
            <v>40</v>
          </cell>
        </row>
        <row r="67">
          <cell r="C67">
            <v>31</v>
          </cell>
          <cell r="D67">
            <v>38</v>
          </cell>
        </row>
        <row r="68">
          <cell r="C68">
            <v>28</v>
          </cell>
          <cell r="D68">
            <v>37</v>
          </cell>
        </row>
        <row r="69">
          <cell r="C69">
            <v>30</v>
          </cell>
          <cell r="D69">
            <v>40</v>
          </cell>
        </row>
        <row r="70">
          <cell r="C70">
            <v>25</v>
          </cell>
          <cell r="D70">
            <v>35</v>
          </cell>
        </row>
        <row r="71">
          <cell r="C71">
            <v>32</v>
          </cell>
          <cell r="D71">
            <v>42</v>
          </cell>
        </row>
        <row r="72">
          <cell r="C72">
            <v>31</v>
          </cell>
          <cell r="D72">
            <v>45</v>
          </cell>
        </row>
        <row r="73">
          <cell r="C73">
            <v>33</v>
          </cell>
          <cell r="D73">
            <v>36</v>
          </cell>
        </row>
        <row r="74">
          <cell r="C74">
            <v>32</v>
          </cell>
          <cell r="D74">
            <v>39</v>
          </cell>
        </row>
        <row r="75">
          <cell r="C75">
            <v>30</v>
          </cell>
          <cell r="D75">
            <v>41</v>
          </cell>
        </row>
        <row r="76">
          <cell r="C76">
            <v>29</v>
          </cell>
          <cell r="D76">
            <v>46</v>
          </cell>
        </row>
        <row r="77">
          <cell r="C77">
            <v>27</v>
          </cell>
          <cell r="D77">
            <v>40</v>
          </cell>
        </row>
        <row r="78">
          <cell r="C78">
            <v>31</v>
          </cell>
          <cell r="D78">
            <v>38</v>
          </cell>
        </row>
        <row r="79">
          <cell r="C79">
            <v>28</v>
          </cell>
          <cell r="D79">
            <v>37</v>
          </cell>
        </row>
        <row r="80">
          <cell r="C80">
            <v>30</v>
          </cell>
          <cell r="D80">
            <v>40</v>
          </cell>
        </row>
        <row r="81">
          <cell r="C81">
            <v>25</v>
          </cell>
          <cell r="D81">
            <v>35</v>
          </cell>
        </row>
        <row r="82">
          <cell r="C82">
            <v>32</v>
          </cell>
          <cell r="D82">
            <v>42</v>
          </cell>
        </row>
        <row r="83">
          <cell r="C83">
            <v>31</v>
          </cell>
          <cell r="D83">
            <v>45</v>
          </cell>
        </row>
        <row r="84">
          <cell r="C84">
            <v>33</v>
          </cell>
          <cell r="D84">
            <v>36</v>
          </cell>
        </row>
        <row r="85">
          <cell r="C85">
            <v>32</v>
          </cell>
          <cell r="D85">
            <v>39</v>
          </cell>
        </row>
        <row r="86">
          <cell r="C86">
            <v>30</v>
          </cell>
          <cell r="D86">
            <v>41</v>
          </cell>
        </row>
        <row r="87">
          <cell r="C87">
            <v>29</v>
          </cell>
          <cell r="D87">
            <v>46</v>
          </cell>
        </row>
        <row r="88">
          <cell r="C88">
            <v>27</v>
          </cell>
          <cell r="D88">
            <v>40</v>
          </cell>
        </row>
        <row r="89">
          <cell r="C89">
            <v>31</v>
          </cell>
          <cell r="D89">
            <v>38</v>
          </cell>
        </row>
        <row r="90">
          <cell r="C90">
            <v>28</v>
          </cell>
          <cell r="D90">
            <v>37</v>
          </cell>
        </row>
        <row r="91">
          <cell r="C91">
            <v>30</v>
          </cell>
          <cell r="D91">
            <v>40</v>
          </cell>
        </row>
        <row r="92">
          <cell r="C92">
            <v>25</v>
          </cell>
          <cell r="D92">
            <v>35</v>
          </cell>
        </row>
        <row r="93">
          <cell r="C93">
            <v>32</v>
          </cell>
          <cell r="D93">
            <v>42</v>
          </cell>
        </row>
        <row r="94">
          <cell r="C94">
            <v>31</v>
          </cell>
          <cell r="D94">
            <v>45</v>
          </cell>
        </row>
        <row r="95">
          <cell r="C95">
            <v>33</v>
          </cell>
          <cell r="D95">
            <v>36</v>
          </cell>
        </row>
        <row r="96">
          <cell r="C96">
            <v>32</v>
          </cell>
          <cell r="D96">
            <v>39</v>
          </cell>
        </row>
        <row r="97">
          <cell r="C97">
            <v>30</v>
          </cell>
          <cell r="D97">
            <v>41</v>
          </cell>
        </row>
        <row r="98">
          <cell r="C98">
            <v>29</v>
          </cell>
          <cell r="D98">
            <v>46</v>
          </cell>
        </row>
        <row r="99">
          <cell r="C99">
            <v>27</v>
          </cell>
          <cell r="D99">
            <v>40</v>
          </cell>
        </row>
        <row r="100">
          <cell r="C100">
            <v>31</v>
          </cell>
          <cell r="D100">
            <v>38</v>
          </cell>
        </row>
        <row r="101">
          <cell r="C101">
            <v>28</v>
          </cell>
          <cell r="D101">
            <v>37</v>
          </cell>
        </row>
        <row r="102">
          <cell r="C102">
            <v>30</v>
          </cell>
          <cell r="D102">
            <v>40</v>
          </cell>
        </row>
        <row r="103">
          <cell r="C103">
            <v>25</v>
          </cell>
          <cell r="D103">
            <v>35</v>
          </cell>
        </row>
        <row r="104">
          <cell r="C104">
            <v>32</v>
          </cell>
          <cell r="D104">
            <v>42</v>
          </cell>
        </row>
        <row r="105">
          <cell r="C105">
            <v>31</v>
          </cell>
          <cell r="D105">
            <v>45</v>
          </cell>
        </row>
        <row r="106">
          <cell r="C106">
            <v>33</v>
          </cell>
          <cell r="D106">
            <v>36</v>
          </cell>
        </row>
        <row r="107">
          <cell r="C107">
            <v>32</v>
          </cell>
          <cell r="D107">
            <v>39</v>
          </cell>
        </row>
        <row r="108">
          <cell r="C108">
            <v>30</v>
          </cell>
          <cell r="D108">
            <v>41</v>
          </cell>
        </row>
        <row r="109">
          <cell r="C109">
            <v>29</v>
          </cell>
          <cell r="D109">
            <v>46</v>
          </cell>
        </row>
        <row r="110">
          <cell r="C110">
            <v>27</v>
          </cell>
          <cell r="D110">
            <v>40</v>
          </cell>
        </row>
        <row r="111">
          <cell r="C111">
            <v>31</v>
          </cell>
          <cell r="D111">
            <v>38</v>
          </cell>
        </row>
        <row r="112">
          <cell r="C112">
            <v>28</v>
          </cell>
          <cell r="D112">
            <v>37</v>
          </cell>
        </row>
        <row r="113">
          <cell r="C113">
            <v>30</v>
          </cell>
          <cell r="D113">
            <v>40</v>
          </cell>
        </row>
        <row r="114">
          <cell r="C114">
            <v>25</v>
          </cell>
          <cell r="D114">
            <v>35</v>
          </cell>
        </row>
        <row r="115">
          <cell r="C115">
            <v>32</v>
          </cell>
          <cell r="D115">
            <v>42</v>
          </cell>
        </row>
        <row r="116">
          <cell r="C116">
            <v>31</v>
          </cell>
          <cell r="D116">
            <v>45</v>
          </cell>
        </row>
        <row r="117">
          <cell r="C117">
            <v>33</v>
          </cell>
          <cell r="D117">
            <v>36</v>
          </cell>
        </row>
        <row r="118">
          <cell r="C118">
            <v>32</v>
          </cell>
          <cell r="D118">
            <v>39</v>
          </cell>
        </row>
        <row r="119">
          <cell r="C119">
            <v>30</v>
          </cell>
          <cell r="D119">
            <v>41</v>
          </cell>
        </row>
        <row r="120">
          <cell r="C120">
            <v>29</v>
          </cell>
          <cell r="D120">
            <v>46</v>
          </cell>
        </row>
        <row r="121">
          <cell r="C121">
            <v>27</v>
          </cell>
          <cell r="D121">
            <v>40</v>
          </cell>
        </row>
        <row r="122">
          <cell r="C122">
            <v>0</v>
          </cell>
          <cell r="D122">
            <v>0</v>
          </cell>
        </row>
        <row r="123">
          <cell r="C123">
            <v>0</v>
          </cell>
          <cell r="D123">
            <v>0</v>
          </cell>
        </row>
        <row r="124">
          <cell r="C124">
            <v>0</v>
          </cell>
          <cell r="D124">
            <v>0</v>
          </cell>
        </row>
        <row r="125">
          <cell r="C125">
            <v>0</v>
          </cell>
          <cell r="D125">
            <v>0</v>
          </cell>
        </row>
        <row r="126">
          <cell r="C126">
            <v>0</v>
          </cell>
          <cell r="D126">
            <v>0</v>
          </cell>
        </row>
        <row r="127">
          <cell r="C127">
            <v>0</v>
          </cell>
          <cell r="D127">
            <v>0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th Subject"/>
    </sheetNames>
    <sheetDataSet>
      <sheetData sheetId="0">
        <row r="3">
          <cell r="C3">
            <v>28</v>
          </cell>
          <cell r="D3">
            <v>37</v>
          </cell>
        </row>
        <row r="4">
          <cell r="C4">
            <v>25</v>
          </cell>
          <cell r="D4">
            <v>35</v>
          </cell>
        </row>
        <row r="5">
          <cell r="C5">
            <v>32</v>
          </cell>
          <cell r="D5">
            <v>42</v>
          </cell>
        </row>
        <row r="6">
          <cell r="C6">
            <v>31</v>
          </cell>
          <cell r="D6">
            <v>45</v>
          </cell>
        </row>
        <row r="7">
          <cell r="C7">
            <v>33</v>
          </cell>
          <cell r="D7">
            <v>36</v>
          </cell>
        </row>
        <row r="8">
          <cell r="C8">
            <v>32</v>
          </cell>
          <cell r="D8">
            <v>39</v>
          </cell>
        </row>
        <row r="9">
          <cell r="C9">
            <v>30</v>
          </cell>
          <cell r="D9">
            <v>41</v>
          </cell>
        </row>
        <row r="10">
          <cell r="C10">
            <v>29</v>
          </cell>
          <cell r="D10">
            <v>46</v>
          </cell>
        </row>
        <row r="11">
          <cell r="C11">
            <v>27</v>
          </cell>
          <cell r="D11">
            <v>40</v>
          </cell>
        </row>
        <row r="12">
          <cell r="C12">
            <v>31</v>
          </cell>
          <cell r="D12">
            <v>38</v>
          </cell>
        </row>
        <row r="13">
          <cell r="C13">
            <v>28</v>
          </cell>
          <cell r="D13">
            <v>37</v>
          </cell>
        </row>
        <row r="14">
          <cell r="C14">
            <v>30</v>
          </cell>
          <cell r="D14">
            <v>40</v>
          </cell>
        </row>
        <row r="15">
          <cell r="C15">
            <v>25</v>
          </cell>
          <cell r="D15">
            <v>35</v>
          </cell>
        </row>
        <row r="16">
          <cell r="C16">
            <v>32</v>
          </cell>
          <cell r="D16">
            <v>42</v>
          </cell>
        </row>
        <row r="17">
          <cell r="C17">
            <v>31</v>
          </cell>
          <cell r="D17">
            <v>45</v>
          </cell>
        </row>
        <row r="18">
          <cell r="C18">
            <v>33</v>
          </cell>
          <cell r="D18">
            <v>36</v>
          </cell>
        </row>
        <row r="19">
          <cell r="C19">
            <v>32</v>
          </cell>
          <cell r="D19">
            <v>39</v>
          </cell>
        </row>
        <row r="20">
          <cell r="C20">
            <v>30</v>
          </cell>
          <cell r="D20">
            <v>41</v>
          </cell>
        </row>
        <row r="21">
          <cell r="C21">
            <v>29</v>
          </cell>
          <cell r="D21">
            <v>46</v>
          </cell>
        </row>
        <row r="22">
          <cell r="C22">
            <v>27</v>
          </cell>
          <cell r="D22">
            <v>40</v>
          </cell>
        </row>
        <row r="23">
          <cell r="C23">
            <v>31</v>
          </cell>
          <cell r="D23">
            <v>38</v>
          </cell>
        </row>
        <row r="24">
          <cell r="C24">
            <v>0</v>
          </cell>
          <cell r="D24">
            <v>0</v>
          </cell>
        </row>
        <row r="25">
          <cell r="C25">
            <v>30</v>
          </cell>
          <cell r="D25">
            <v>40</v>
          </cell>
        </row>
        <row r="26">
          <cell r="C26">
            <v>25</v>
          </cell>
          <cell r="D26">
            <v>35</v>
          </cell>
        </row>
        <row r="27">
          <cell r="C27">
            <v>32</v>
          </cell>
          <cell r="D27">
            <v>42</v>
          </cell>
        </row>
        <row r="28">
          <cell r="C28">
            <v>31</v>
          </cell>
          <cell r="D28">
            <v>45</v>
          </cell>
        </row>
        <row r="29">
          <cell r="C29">
            <v>33</v>
          </cell>
          <cell r="D29">
            <v>36</v>
          </cell>
        </row>
        <row r="30">
          <cell r="C30">
            <v>32</v>
          </cell>
          <cell r="D30">
            <v>39</v>
          </cell>
        </row>
        <row r="31">
          <cell r="C31">
            <v>30</v>
          </cell>
          <cell r="D31">
            <v>41</v>
          </cell>
        </row>
        <row r="32">
          <cell r="C32">
            <v>29</v>
          </cell>
          <cell r="D32">
            <v>46</v>
          </cell>
        </row>
        <row r="33">
          <cell r="C33">
            <v>27</v>
          </cell>
          <cell r="D33">
            <v>40</v>
          </cell>
        </row>
        <row r="34">
          <cell r="C34">
            <v>31</v>
          </cell>
          <cell r="D34">
            <v>38</v>
          </cell>
        </row>
        <row r="35">
          <cell r="C35">
            <v>28</v>
          </cell>
          <cell r="D35">
            <v>37</v>
          </cell>
        </row>
        <row r="36">
          <cell r="C36">
            <v>30</v>
          </cell>
          <cell r="D36">
            <v>40</v>
          </cell>
        </row>
        <row r="37">
          <cell r="C37">
            <v>25</v>
          </cell>
          <cell r="D37">
            <v>35</v>
          </cell>
        </row>
        <row r="38">
          <cell r="C38">
            <v>32</v>
          </cell>
          <cell r="D38">
            <v>42</v>
          </cell>
        </row>
        <row r="39">
          <cell r="C39">
            <v>31</v>
          </cell>
          <cell r="D39">
            <v>45</v>
          </cell>
        </row>
        <row r="40">
          <cell r="C40">
            <v>33</v>
          </cell>
          <cell r="D40">
            <v>36</v>
          </cell>
        </row>
        <row r="41">
          <cell r="C41">
            <v>32</v>
          </cell>
          <cell r="D41">
            <v>39</v>
          </cell>
        </row>
        <row r="42">
          <cell r="C42">
            <v>30</v>
          </cell>
          <cell r="D42">
            <v>41</v>
          </cell>
        </row>
        <row r="43">
          <cell r="C43">
            <v>29</v>
          </cell>
          <cell r="D43">
            <v>46</v>
          </cell>
        </row>
        <row r="44">
          <cell r="C44">
            <v>27</v>
          </cell>
          <cell r="D44">
            <v>40</v>
          </cell>
        </row>
        <row r="45">
          <cell r="C45">
            <v>0</v>
          </cell>
          <cell r="D45">
            <v>0</v>
          </cell>
        </row>
        <row r="46">
          <cell r="C46">
            <v>28</v>
          </cell>
          <cell r="D46">
            <v>37</v>
          </cell>
        </row>
        <row r="47">
          <cell r="C47">
            <v>30</v>
          </cell>
          <cell r="D47">
            <v>40</v>
          </cell>
        </row>
        <row r="48">
          <cell r="C48">
            <v>25</v>
          </cell>
          <cell r="D48">
            <v>35</v>
          </cell>
        </row>
        <row r="49">
          <cell r="C49">
            <v>32</v>
          </cell>
          <cell r="D49">
            <v>42</v>
          </cell>
        </row>
        <row r="50">
          <cell r="C50">
            <v>31</v>
          </cell>
          <cell r="D50">
            <v>45</v>
          </cell>
        </row>
        <row r="51">
          <cell r="C51">
            <v>33</v>
          </cell>
          <cell r="D51">
            <v>36</v>
          </cell>
        </row>
        <row r="52">
          <cell r="C52">
            <v>32</v>
          </cell>
          <cell r="D52">
            <v>39</v>
          </cell>
        </row>
        <row r="53">
          <cell r="C53">
            <v>30</v>
          </cell>
          <cell r="D53">
            <v>41</v>
          </cell>
        </row>
        <row r="54">
          <cell r="C54">
            <v>29</v>
          </cell>
          <cell r="D54">
            <v>46</v>
          </cell>
        </row>
        <row r="55">
          <cell r="C55">
            <v>27</v>
          </cell>
          <cell r="D55">
            <v>40</v>
          </cell>
        </row>
        <row r="56">
          <cell r="C56">
            <v>31</v>
          </cell>
          <cell r="D56">
            <v>38</v>
          </cell>
        </row>
        <row r="57">
          <cell r="C57">
            <v>28</v>
          </cell>
          <cell r="D57">
            <v>37</v>
          </cell>
        </row>
        <row r="58">
          <cell r="C58">
            <v>30</v>
          </cell>
          <cell r="D58">
            <v>40</v>
          </cell>
        </row>
        <row r="59">
          <cell r="C59">
            <v>25</v>
          </cell>
          <cell r="D59">
            <v>35</v>
          </cell>
        </row>
        <row r="60">
          <cell r="C60">
            <v>32</v>
          </cell>
          <cell r="D60">
            <v>42</v>
          </cell>
        </row>
        <row r="61">
          <cell r="C61">
            <v>31</v>
          </cell>
          <cell r="D61">
            <v>45</v>
          </cell>
        </row>
        <row r="62">
          <cell r="C62">
            <v>33</v>
          </cell>
          <cell r="D62">
            <v>36</v>
          </cell>
        </row>
        <row r="63">
          <cell r="C63">
            <v>32</v>
          </cell>
          <cell r="D63">
            <v>39</v>
          </cell>
        </row>
        <row r="64">
          <cell r="C64">
            <v>30</v>
          </cell>
          <cell r="D64">
            <v>41</v>
          </cell>
        </row>
        <row r="65">
          <cell r="C65">
            <v>29</v>
          </cell>
          <cell r="D65">
            <v>46</v>
          </cell>
        </row>
        <row r="66">
          <cell r="C66">
            <v>27</v>
          </cell>
          <cell r="D66">
            <v>40</v>
          </cell>
        </row>
        <row r="67">
          <cell r="C67">
            <v>31</v>
          </cell>
          <cell r="D67">
            <v>38</v>
          </cell>
        </row>
        <row r="68">
          <cell r="C68">
            <v>28</v>
          </cell>
          <cell r="D68">
            <v>37</v>
          </cell>
        </row>
        <row r="69">
          <cell r="C69">
            <v>30</v>
          </cell>
          <cell r="D69">
            <v>40</v>
          </cell>
        </row>
        <row r="70">
          <cell r="C70">
            <v>25</v>
          </cell>
          <cell r="D70">
            <v>35</v>
          </cell>
        </row>
        <row r="71">
          <cell r="C71">
            <v>32</v>
          </cell>
          <cell r="D71">
            <v>42</v>
          </cell>
        </row>
        <row r="72">
          <cell r="C72">
            <v>31</v>
          </cell>
          <cell r="D72">
            <v>45</v>
          </cell>
        </row>
        <row r="73">
          <cell r="C73">
            <v>33</v>
          </cell>
          <cell r="D73">
            <v>36</v>
          </cell>
        </row>
        <row r="74">
          <cell r="C74">
            <v>32</v>
          </cell>
          <cell r="D74">
            <v>39</v>
          </cell>
        </row>
        <row r="75">
          <cell r="C75">
            <v>30</v>
          </cell>
          <cell r="D75">
            <v>41</v>
          </cell>
        </row>
        <row r="76">
          <cell r="C76">
            <v>29</v>
          </cell>
          <cell r="D76">
            <v>46</v>
          </cell>
        </row>
        <row r="77">
          <cell r="C77">
            <v>27</v>
          </cell>
          <cell r="D77">
            <v>40</v>
          </cell>
        </row>
        <row r="78">
          <cell r="C78">
            <v>31</v>
          </cell>
          <cell r="D78">
            <v>38</v>
          </cell>
        </row>
        <row r="79">
          <cell r="C79">
            <v>28</v>
          </cell>
          <cell r="D79">
            <v>37</v>
          </cell>
        </row>
        <row r="80">
          <cell r="C80">
            <v>30</v>
          </cell>
          <cell r="D80">
            <v>40</v>
          </cell>
        </row>
        <row r="81">
          <cell r="C81">
            <v>25</v>
          </cell>
          <cell r="D81">
            <v>35</v>
          </cell>
        </row>
        <row r="82">
          <cell r="C82">
            <v>32</v>
          </cell>
          <cell r="D82">
            <v>42</v>
          </cell>
        </row>
        <row r="83">
          <cell r="C83">
            <v>31</v>
          </cell>
          <cell r="D83">
            <v>45</v>
          </cell>
        </row>
        <row r="84">
          <cell r="C84">
            <v>33</v>
          </cell>
          <cell r="D84">
            <v>36</v>
          </cell>
        </row>
        <row r="85">
          <cell r="C85">
            <v>32</v>
          </cell>
          <cell r="D85">
            <v>39</v>
          </cell>
        </row>
        <row r="86">
          <cell r="C86">
            <v>30</v>
          </cell>
          <cell r="D86">
            <v>41</v>
          </cell>
        </row>
        <row r="87">
          <cell r="C87">
            <v>29</v>
          </cell>
          <cell r="D87">
            <v>46</v>
          </cell>
        </row>
        <row r="88">
          <cell r="C88">
            <v>27</v>
          </cell>
          <cell r="D88">
            <v>40</v>
          </cell>
        </row>
        <row r="89">
          <cell r="C89">
            <v>31</v>
          </cell>
          <cell r="D89">
            <v>38</v>
          </cell>
        </row>
        <row r="90">
          <cell r="C90">
            <v>28</v>
          </cell>
          <cell r="D90">
            <v>37</v>
          </cell>
        </row>
        <row r="91">
          <cell r="C91">
            <v>30</v>
          </cell>
          <cell r="D91">
            <v>40</v>
          </cell>
        </row>
        <row r="92">
          <cell r="C92">
            <v>25</v>
          </cell>
          <cell r="D92">
            <v>35</v>
          </cell>
        </row>
        <row r="93">
          <cell r="C93">
            <v>32</v>
          </cell>
          <cell r="D93">
            <v>42</v>
          </cell>
        </row>
        <row r="94">
          <cell r="C94">
            <v>31</v>
          </cell>
          <cell r="D94">
            <v>45</v>
          </cell>
        </row>
        <row r="95">
          <cell r="C95">
            <v>33</v>
          </cell>
          <cell r="D95">
            <v>36</v>
          </cell>
        </row>
        <row r="96">
          <cell r="C96">
            <v>32</v>
          </cell>
          <cell r="D96">
            <v>39</v>
          </cell>
        </row>
        <row r="97">
          <cell r="C97">
            <v>30</v>
          </cell>
          <cell r="D97">
            <v>41</v>
          </cell>
        </row>
        <row r="98">
          <cell r="C98">
            <v>29</v>
          </cell>
          <cell r="D98">
            <v>46</v>
          </cell>
        </row>
        <row r="99">
          <cell r="C99">
            <v>27</v>
          </cell>
          <cell r="D99">
            <v>40</v>
          </cell>
        </row>
        <row r="100">
          <cell r="C100">
            <v>31</v>
          </cell>
          <cell r="D100">
            <v>38</v>
          </cell>
        </row>
        <row r="101">
          <cell r="C101">
            <v>28</v>
          </cell>
          <cell r="D101">
            <v>37</v>
          </cell>
        </row>
        <row r="102">
          <cell r="C102">
            <v>30</v>
          </cell>
          <cell r="D102">
            <v>40</v>
          </cell>
        </row>
        <row r="103">
          <cell r="C103">
            <v>25</v>
          </cell>
          <cell r="D103">
            <v>35</v>
          </cell>
        </row>
        <row r="104">
          <cell r="C104">
            <v>32</v>
          </cell>
          <cell r="D104">
            <v>42</v>
          </cell>
        </row>
        <row r="105">
          <cell r="C105">
            <v>31</v>
          </cell>
          <cell r="D105">
            <v>45</v>
          </cell>
        </row>
        <row r="106">
          <cell r="C106">
            <v>33</v>
          </cell>
          <cell r="D106">
            <v>36</v>
          </cell>
        </row>
        <row r="107">
          <cell r="C107">
            <v>32</v>
          </cell>
          <cell r="D107">
            <v>39</v>
          </cell>
        </row>
        <row r="108">
          <cell r="C108">
            <v>30</v>
          </cell>
          <cell r="D108">
            <v>41</v>
          </cell>
        </row>
        <row r="109">
          <cell r="C109">
            <v>29</v>
          </cell>
          <cell r="D109">
            <v>46</v>
          </cell>
        </row>
        <row r="110">
          <cell r="C110">
            <v>27</v>
          </cell>
          <cell r="D110">
            <v>40</v>
          </cell>
        </row>
        <row r="111">
          <cell r="C111">
            <v>31</v>
          </cell>
          <cell r="D111">
            <v>38</v>
          </cell>
        </row>
        <row r="112">
          <cell r="C112">
            <v>28</v>
          </cell>
          <cell r="D112">
            <v>37</v>
          </cell>
        </row>
        <row r="113">
          <cell r="C113">
            <v>30</v>
          </cell>
          <cell r="D113">
            <v>40</v>
          </cell>
        </row>
        <row r="114">
          <cell r="C114">
            <v>25</v>
          </cell>
          <cell r="D114">
            <v>35</v>
          </cell>
        </row>
        <row r="115">
          <cell r="C115">
            <v>32</v>
          </cell>
          <cell r="D115">
            <v>42</v>
          </cell>
        </row>
        <row r="116">
          <cell r="C116">
            <v>31</v>
          </cell>
          <cell r="D116">
            <v>45</v>
          </cell>
        </row>
        <row r="117">
          <cell r="C117">
            <v>33</v>
          </cell>
          <cell r="D117">
            <v>36</v>
          </cell>
        </row>
        <row r="118">
          <cell r="C118">
            <v>32</v>
          </cell>
          <cell r="D118">
            <v>39</v>
          </cell>
        </row>
        <row r="119">
          <cell r="C119">
            <v>30</v>
          </cell>
          <cell r="D119">
            <v>41</v>
          </cell>
        </row>
        <row r="120">
          <cell r="C120">
            <v>29</v>
          </cell>
          <cell r="D120">
            <v>46</v>
          </cell>
        </row>
        <row r="121">
          <cell r="C121">
            <v>27</v>
          </cell>
          <cell r="D121">
            <v>40</v>
          </cell>
        </row>
        <row r="122">
          <cell r="C122">
            <v>0</v>
          </cell>
          <cell r="D122">
            <v>0</v>
          </cell>
        </row>
        <row r="123">
          <cell r="C123">
            <v>0</v>
          </cell>
          <cell r="D123">
            <v>0</v>
          </cell>
        </row>
        <row r="124">
          <cell r="C124">
            <v>0</v>
          </cell>
          <cell r="D124">
            <v>0</v>
          </cell>
        </row>
        <row r="125">
          <cell r="C125">
            <v>0</v>
          </cell>
          <cell r="D125">
            <v>0</v>
          </cell>
        </row>
        <row r="126">
          <cell r="C126">
            <v>0</v>
          </cell>
          <cell r="D126">
            <v>0</v>
          </cell>
        </row>
        <row r="127">
          <cell r="C127">
            <v>0</v>
          </cell>
          <cell r="D127">
            <v>0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th Subject"/>
    </sheetNames>
    <sheetDataSet>
      <sheetData sheetId="0">
        <row r="3">
          <cell r="C3">
            <v>30</v>
          </cell>
          <cell r="D3">
            <v>40</v>
          </cell>
        </row>
        <row r="4">
          <cell r="C4">
            <v>25</v>
          </cell>
          <cell r="D4">
            <v>35</v>
          </cell>
        </row>
        <row r="5">
          <cell r="C5">
            <v>32</v>
          </cell>
          <cell r="D5">
            <v>42</v>
          </cell>
        </row>
        <row r="6">
          <cell r="C6">
            <v>31</v>
          </cell>
          <cell r="D6">
            <v>45</v>
          </cell>
        </row>
        <row r="7">
          <cell r="C7">
            <v>33</v>
          </cell>
          <cell r="D7">
            <v>36</v>
          </cell>
        </row>
        <row r="8">
          <cell r="C8">
            <v>32</v>
          </cell>
          <cell r="D8">
            <v>39</v>
          </cell>
        </row>
        <row r="9">
          <cell r="C9">
            <v>30</v>
          </cell>
          <cell r="D9">
            <v>41</v>
          </cell>
        </row>
        <row r="10">
          <cell r="C10">
            <v>29</v>
          </cell>
          <cell r="D10">
            <v>46</v>
          </cell>
        </row>
        <row r="11">
          <cell r="C11">
            <v>27</v>
          </cell>
          <cell r="D11">
            <v>40</v>
          </cell>
        </row>
        <row r="12">
          <cell r="C12">
            <v>31</v>
          </cell>
          <cell r="D12">
            <v>38</v>
          </cell>
        </row>
        <row r="13">
          <cell r="C13">
            <v>28</v>
          </cell>
          <cell r="D13">
            <v>37</v>
          </cell>
        </row>
        <row r="14">
          <cell r="C14">
            <v>30</v>
          </cell>
          <cell r="D14">
            <v>40</v>
          </cell>
        </row>
        <row r="15">
          <cell r="C15">
            <v>25</v>
          </cell>
          <cell r="D15">
            <v>35</v>
          </cell>
        </row>
        <row r="16">
          <cell r="C16">
            <v>32</v>
          </cell>
          <cell r="D16">
            <v>42</v>
          </cell>
        </row>
        <row r="17">
          <cell r="C17">
            <v>31</v>
          </cell>
          <cell r="D17">
            <v>45</v>
          </cell>
        </row>
        <row r="18">
          <cell r="C18">
            <v>33</v>
          </cell>
          <cell r="D18">
            <v>36</v>
          </cell>
        </row>
        <row r="19">
          <cell r="C19">
            <v>32</v>
          </cell>
          <cell r="D19">
            <v>39</v>
          </cell>
        </row>
        <row r="20">
          <cell r="C20">
            <v>30</v>
          </cell>
          <cell r="D20">
            <v>41</v>
          </cell>
        </row>
        <row r="21">
          <cell r="C21">
            <v>29</v>
          </cell>
          <cell r="D21">
            <v>46</v>
          </cell>
        </row>
        <row r="22">
          <cell r="C22">
            <v>27</v>
          </cell>
          <cell r="D22">
            <v>40</v>
          </cell>
        </row>
        <row r="23">
          <cell r="C23">
            <v>31</v>
          </cell>
          <cell r="D23">
            <v>38</v>
          </cell>
        </row>
        <row r="24">
          <cell r="C24">
            <v>0</v>
          </cell>
          <cell r="D24">
            <v>0</v>
          </cell>
        </row>
        <row r="25">
          <cell r="C25">
            <v>30</v>
          </cell>
          <cell r="D25">
            <v>40</v>
          </cell>
        </row>
        <row r="26">
          <cell r="C26">
            <v>25</v>
          </cell>
          <cell r="D26">
            <v>35</v>
          </cell>
        </row>
        <row r="27">
          <cell r="C27">
            <v>32</v>
          </cell>
          <cell r="D27">
            <v>42</v>
          </cell>
        </row>
        <row r="28">
          <cell r="C28">
            <v>31</v>
          </cell>
          <cell r="D28">
            <v>45</v>
          </cell>
        </row>
        <row r="29">
          <cell r="C29">
            <v>33</v>
          </cell>
          <cell r="D29">
            <v>36</v>
          </cell>
        </row>
        <row r="30">
          <cell r="C30">
            <v>32</v>
          </cell>
          <cell r="D30">
            <v>39</v>
          </cell>
        </row>
        <row r="31">
          <cell r="C31">
            <v>30</v>
          </cell>
          <cell r="D31">
            <v>41</v>
          </cell>
        </row>
        <row r="32">
          <cell r="C32">
            <v>29</v>
          </cell>
          <cell r="D32">
            <v>46</v>
          </cell>
        </row>
        <row r="33">
          <cell r="C33">
            <v>27</v>
          </cell>
          <cell r="D33">
            <v>40</v>
          </cell>
        </row>
        <row r="34">
          <cell r="C34">
            <v>31</v>
          </cell>
          <cell r="D34">
            <v>38</v>
          </cell>
        </row>
        <row r="35">
          <cell r="C35">
            <v>28</v>
          </cell>
          <cell r="D35">
            <v>37</v>
          </cell>
        </row>
        <row r="36">
          <cell r="C36">
            <v>30</v>
          </cell>
          <cell r="D36">
            <v>40</v>
          </cell>
        </row>
        <row r="37">
          <cell r="C37">
            <v>25</v>
          </cell>
          <cell r="D37">
            <v>35</v>
          </cell>
        </row>
        <row r="38">
          <cell r="C38">
            <v>32</v>
          </cell>
          <cell r="D38">
            <v>42</v>
          </cell>
        </row>
        <row r="39">
          <cell r="C39">
            <v>31</v>
          </cell>
          <cell r="D39">
            <v>45</v>
          </cell>
        </row>
        <row r="40">
          <cell r="C40">
            <v>33</v>
          </cell>
          <cell r="D40">
            <v>36</v>
          </cell>
        </row>
        <row r="41">
          <cell r="C41">
            <v>32</v>
          </cell>
          <cell r="D41">
            <v>39</v>
          </cell>
        </row>
        <row r="42">
          <cell r="C42">
            <v>30</v>
          </cell>
          <cell r="D42">
            <v>41</v>
          </cell>
        </row>
        <row r="43">
          <cell r="C43">
            <v>29</v>
          </cell>
          <cell r="D43">
            <v>46</v>
          </cell>
        </row>
        <row r="44">
          <cell r="C44">
            <v>27</v>
          </cell>
          <cell r="D44">
            <v>40</v>
          </cell>
        </row>
        <row r="45">
          <cell r="C45">
            <v>0</v>
          </cell>
          <cell r="D45">
            <v>0</v>
          </cell>
        </row>
        <row r="46">
          <cell r="C46">
            <v>28</v>
          </cell>
          <cell r="D46">
            <v>37</v>
          </cell>
        </row>
        <row r="47">
          <cell r="C47">
            <v>30</v>
          </cell>
          <cell r="D47">
            <v>40</v>
          </cell>
        </row>
        <row r="48">
          <cell r="C48">
            <v>25</v>
          </cell>
          <cell r="D48">
            <v>35</v>
          </cell>
        </row>
        <row r="49">
          <cell r="C49">
            <v>32</v>
          </cell>
          <cell r="D49">
            <v>42</v>
          </cell>
        </row>
        <row r="50">
          <cell r="C50">
            <v>31</v>
          </cell>
          <cell r="D50">
            <v>45</v>
          </cell>
        </row>
        <row r="51">
          <cell r="C51">
            <v>33</v>
          </cell>
          <cell r="D51">
            <v>36</v>
          </cell>
        </row>
        <row r="52">
          <cell r="C52">
            <v>32</v>
          </cell>
          <cell r="D52">
            <v>39</v>
          </cell>
        </row>
        <row r="53">
          <cell r="C53">
            <v>30</v>
          </cell>
          <cell r="D53">
            <v>41</v>
          </cell>
        </row>
        <row r="54">
          <cell r="C54">
            <v>29</v>
          </cell>
          <cell r="D54">
            <v>46</v>
          </cell>
        </row>
        <row r="55">
          <cell r="C55">
            <v>27</v>
          </cell>
          <cell r="D55">
            <v>40</v>
          </cell>
        </row>
        <row r="56">
          <cell r="C56">
            <v>31</v>
          </cell>
          <cell r="D56">
            <v>38</v>
          </cell>
        </row>
        <row r="57">
          <cell r="C57">
            <v>28</v>
          </cell>
          <cell r="D57">
            <v>37</v>
          </cell>
        </row>
        <row r="58">
          <cell r="C58">
            <v>30</v>
          </cell>
          <cell r="D58">
            <v>40</v>
          </cell>
        </row>
        <row r="59">
          <cell r="C59">
            <v>25</v>
          </cell>
          <cell r="D59">
            <v>35</v>
          </cell>
        </row>
        <row r="60">
          <cell r="C60">
            <v>32</v>
          </cell>
          <cell r="D60">
            <v>42</v>
          </cell>
        </row>
        <row r="61">
          <cell r="C61">
            <v>31</v>
          </cell>
          <cell r="D61">
            <v>45</v>
          </cell>
        </row>
        <row r="62">
          <cell r="C62">
            <v>33</v>
          </cell>
          <cell r="D62">
            <v>36</v>
          </cell>
        </row>
        <row r="63">
          <cell r="C63">
            <v>32</v>
          </cell>
          <cell r="D63">
            <v>39</v>
          </cell>
        </row>
        <row r="64">
          <cell r="C64">
            <v>30</v>
          </cell>
          <cell r="D64">
            <v>41</v>
          </cell>
        </row>
        <row r="65">
          <cell r="C65">
            <v>29</v>
          </cell>
          <cell r="D65">
            <v>46</v>
          </cell>
        </row>
        <row r="66">
          <cell r="C66">
            <v>27</v>
          </cell>
          <cell r="D66">
            <v>40</v>
          </cell>
        </row>
        <row r="67">
          <cell r="C67">
            <v>31</v>
          </cell>
          <cell r="D67">
            <v>38</v>
          </cell>
        </row>
        <row r="68">
          <cell r="C68">
            <v>28</v>
          </cell>
          <cell r="D68">
            <v>37</v>
          </cell>
        </row>
        <row r="69">
          <cell r="C69">
            <v>30</v>
          </cell>
          <cell r="D69">
            <v>40</v>
          </cell>
        </row>
        <row r="70">
          <cell r="C70">
            <v>25</v>
          </cell>
          <cell r="D70">
            <v>35</v>
          </cell>
        </row>
        <row r="71">
          <cell r="C71">
            <v>32</v>
          </cell>
          <cell r="D71">
            <v>42</v>
          </cell>
        </row>
        <row r="72">
          <cell r="C72">
            <v>31</v>
          </cell>
          <cell r="D72">
            <v>45</v>
          </cell>
        </row>
        <row r="73">
          <cell r="C73">
            <v>33</v>
          </cell>
          <cell r="D73">
            <v>36</v>
          </cell>
        </row>
        <row r="74">
          <cell r="C74">
            <v>32</v>
          </cell>
          <cell r="D74">
            <v>39</v>
          </cell>
        </row>
        <row r="75">
          <cell r="C75">
            <v>30</v>
          </cell>
          <cell r="D75">
            <v>41</v>
          </cell>
        </row>
        <row r="76">
          <cell r="C76">
            <v>29</v>
          </cell>
          <cell r="D76">
            <v>46</v>
          </cell>
        </row>
        <row r="77">
          <cell r="C77">
            <v>27</v>
          </cell>
          <cell r="D77">
            <v>40</v>
          </cell>
        </row>
        <row r="78">
          <cell r="C78">
            <v>31</v>
          </cell>
          <cell r="D78">
            <v>38</v>
          </cell>
        </row>
        <row r="79">
          <cell r="C79">
            <v>28</v>
          </cell>
          <cell r="D79">
            <v>37</v>
          </cell>
        </row>
        <row r="80">
          <cell r="C80">
            <v>30</v>
          </cell>
          <cell r="D80">
            <v>40</v>
          </cell>
        </row>
        <row r="81">
          <cell r="C81">
            <v>25</v>
          </cell>
          <cell r="D81">
            <v>35</v>
          </cell>
        </row>
        <row r="82">
          <cell r="C82">
            <v>32</v>
          </cell>
          <cell r="D82">
            <v>42</v>
          </cell>
        </row>
        <row r="83">
          <cell r="C83">
            <v>31</v>
          </cell>
          <cell r="D83">
            <v>45</v>
          </cell>
        </row>
        <row r="84">
          <cell r="C84">
            <v>33</v>
          </cell>
          <cell r="D84">
            <v>36</v>
          </cell>
        </row>
        <row r="85">
          <cell r="C85">
            <v>32</v>
          </cell>
          <cell r="D85">
            <v>39</v>
          </cell>
        </row>
        <row r="86">
          <cell r="C86">
            <v>30</v>
          </cell>
          <cell r="D86">
            <v>41</v>
          </cell>
        </row>
        <row r="87">
          <cell r="C87">
            <v>29</v>
          </cell>
          <cell r="D87">
            <v>46</v>
          </cell>
        </row>
        <row r="88">
          <cell r="C88">
            <v>27</v>
          </cell>
          <cell r="D88">
            <v>40</v>
          </cell>
        </row>
        <row r="89">
          <cell r="C89">
            <v>31</v>
          </cell>
          <cell r="D89">
            <v>38</v>
          </cell>
        </row>
        <row r="90">
          <cell r="C90">
            <v>28</v>
          </cell>
          <cell r="D90">
            <v>37</v>
          </cell>
        </row>
        <row r="91">
          <cell r="C91">
            <v>30</v>
          </cell>
          <cell r="D91">
            <v>40</v>
          </cell>
        </row>
        <row r="92">
          <cell r="C92">
            <v>25</v>
          </cell>
          <cell r="D92">
            <v>35</v>
          </cell>
        </row>
        <row r="93">
          <cell r="C93">
            <v>32</v>
          </cell>
          <cell r="D93">
            <v>42</v>
          </cell>
        </row>
        <row r="94">
          <cell r="C94">
            <v>31</v>
          </cell>
          <cell r="D94">
            <v>45</v>
          </cell>
        </row>
        <row r="95">
          <cell r="C95">
            <v>33</v>
          </cell>
          <cell r="D95">
            <v>36</v>
          </cell>
        </row>
        <row r="96">
          <cell r="C96">
            <v>32</v>
          </cell>
          <cell r="D96">
            <v>39</v>
          </cell>
        </row>
        <row r="97">
          <cell r="C97">
            <v>30</v>
          </cell>
          <cell r="D97">
            <v>41</v>
          </cell>
        </row>
        <row r="98">
          <cell r="C98">
            <v>29</v>
          </cell>
          <cell r="D98">
            <v>46</v>
          </cell>
        </row>
        <row r="99">
          <cell r="C99">
            <v>27</v>
          </cell>
          <cell r="D99">
            <v>40</v>
          </cell>
        </row>
        <row r="100">
          <cell r="C100">
            <v>31</v>
          </cell>
          <cell r="D100">
            <v>38</v>
          </cell>
        </row>
        <row r="101">
          <cell r="C101">
            <v>28</v>
          </cell>
          <cell r="D101">
            <v>37</v>
          </cell>
        </row>
        <row r="102">
          <cell r="C102">
            <v>30</v>
          </cell>
          <cell r="D102">
            <v>40</v>
          </cell>
        </row>
        <row r="103">
          <cell r="C103">
            <v>25</v>
          </cell>
          <cell r="D103">
            <v>35</v>
          </cell>
        </row>
        <row r="104">
          <cell r="C104">
            <v>32</v>
          </cell>
          <cell r="D104">
            <v>42</v>
          </cell>
        </row>
        <row r="105">
          <cell r="C105">
            <v>31</v>
          </cell>
          <cell r="D105">
            <v>45</v>
          </cell>
        </row>
        <row r="106">
          <cell r="C106">
            <v>33</v>
          </cell>
          <cell r="D106">
            <v>36</v>
          </cell>
        </row>
        <row r="107">
          <cell r="C107">
            <v>32</v>
          </cell>
          <cell r="D107">
            <v>39</v>
          </cell>
        </row>
        <row r="108">
          <cell r="C108">
            <v>30</v>
          </cell>
          <cell r="D108">
            <v>41</v>
          </cell>
        </row>
        <row r="109">
          <cell r="C109">
            <v>29</v>
          </cell>
          <cell r="D109">
            <v>46</v>
          </cell>
        </row>
        <row r="110">
          <cell r="C110">
            <v>27</v>
          </cell>
          <cell r="D110">
            <v>40</v>
          </cell>
        </row>
        <row r="111">
          <cell r="C111">
            <v>31</v>
          </cell>
          <cell r="D111">
            <v>38</v>
          </cell>
        </row>
        <row r="112">
          <cell r="C112">
            <v>28</v>
          </cell>
          <cell r="D112">
            <v>37</v>
          </cell>
        </row>
        <row r="113">
          <cell r="C113">
            <v>30</v>
          </cell>
          <cell r="D113">
            <v>40</v>
          </cell>
        </row>
        <row r="114">
          <cell r="C114">
            <v>25</v>
          </cell>
          <cell r="D114">
            <v>35</v>
          </cell>
        </row>
        <row r="115">
          <cell r="C115">
            <v>32</v>
          </cell>
          <cell r="D115">
            <v>42</v>
          </cell>
        </row>
        <row r="116">
          <cell r="C116">
            <v>31</v>
          </cell>
          <cell r="D116">
            <v>45</v>
          </cell>
        </row>
        <row r="117">
          <cell r="C117">
            <v>33</v>
          </cell>
          <cell r="D117">
            <v>36</v>
          </cell>
        </row>
        <row r="118">
          <cell r="C118">
            <v>32</v>
          </cell>
          <cell r="D118">
            <v>39</v>
          </cell>
        </row>
        <row r="119">
          <cell r="C119">
            <v>30</v>
          </cell>
          <cell r="D119">
            <v>41</v>
          </cell>
        </row>
        <row r="120">
          <cell r="C120">
            <v>29</v>
          </cell>
          <cell r="D120">
            <v>46</v>
          </cell>
        </row>
        <row r="121">
          <cell r="C121">
            <v>27</v>
          </cell>
          <cell r="D121">
            <v>40</v>
          </cell>
        </row>
        <row r="122">
          <cell r="C122">
            <v>0</v>
          </cell>
          <cell r="D122">
            <v>0</v>
          </cell>
        </row>
        <row r="123">
          <cell r="C123">
            <v>0</v>
          </cell>
          <cell r="D123">
            <v>0</v>
          </cell>
        </row>
        <row r="124">
          <cell r="C124">
            <v>0</v>
          </cell>
          <cell r="D124">
            <v>0</v>
          </cell>
        </row>
        <row r="125">
          <cell r="C125">
            <v>0</v>
          </cell>
          <cell r="D125">
            <v>0</v>
          </cell>
        </row>
        <row r="126">
          <cell r="C126">
            <v>0</v>
          </cell>
          <cell r="D126">
            <v>0</v>
          </cell>
        </row>
        <row r="127">
          <cell r="C127">
            <v>0</v>
          </cell>
          <cell r="D127">
            <v>0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6th Subject"/>
    </sheetNames>
    <sheetDataSet>
      <sheetData sheetId="0">
        <row r="3">
          <cell r="C3">
            <v>30</v>
          </cell>
          <cell r="D3">
            <v>40</v>
          </cell>
        </row>
        <row r="4">
          <cell r="C4">
            <v>25</v>
          </cell>
          <cell r="D4">
            <v>35</v>
          </cell>
        </row>
        <row r="5">
          <cell r="C5">
            <v>32</v>
          </cell>
          <cell r="D5">
            <v>42</v>
          </cell>
        </row>
        <row r="6">
          <cell r="C6">
            <v>31</v>
          </cell>
          <cell r="D6">
            <v>45</v>
          </cell>
        </row>
        <row r="7">
          <cell r="C7">
            <v>33</v>
          </cell>
          <cell r="D7">
            <v>36</v>
          </cell>
        </row>
        <row r="8">
          <cell r="C8">
            <v>32</v>
          </cell>
          <cell r="D8">
            <v>39</v>
          </cell>
        </row>
        <row r="9">
          <cell r="C9">
            <v>30</v>
          </cell>
          <cell r="D9">
            <v>41</v>
          </cell>
        </row>
        <row r="10">
          <cell r="C10">
            <v>29</v>
          </cell>
          <cell r="D10">
            <v>46</v>
          </cell>
        </row>
        <row r="11">
          <cell r="C11">
            <v>27</v>
          </cell>
          <cell r="D11">
            <v>40</v>
          </cell>
        </row>
        <row r="12">
          <cell r="C12">
            <v>31</v>
          </cell>
          <cell r="D12">
            <v>38</v>
          </cell>
        </row>
        <row r="13">
          <cell r="C13">
            <v>28</v>
          </cell>
          <cell r="D13">
            <v>37</v>
          </cell>
        </row>
        <row r="14">
          <cell r="C14">
            <v>30</v>
          </cell>
          <cell r="D14">
            <v>40</v>
          </cell>
        </row>
        <row r="15">
          <cell r="C15">
            <v>25</v>
          </cell>
          <cell r="D15">
            <v>35</v>
          </cell>
        </row>
        <row r="16">
          <cell r="C16">
            <v>32</v>
          </cell>
          <cell r="D16">
            <v>42</v>
          </cell>
        </row>
        <row r="17">
          <cell r="C17">
            <v>31</v>
          </cell>
          <cell r="D17">
            <v>45</v>
          </cell>
        </row>
        <row r="18">
          <cell r="C18">
            <v>33</v>
          </cell>
          <cell r="D18">
            <v>36</v>
          </cell>
        </row>
        <row r="19">
          <cell r="C19">
            <v>32</v>
          </cell>
          <cell r="D19">
            <v>39</v>
          </cell>
        </row>
        <row r="20">
          <cell r="C20">
            <v>30</v>
          </cell>
          <cell r="D20">
            <v>41</v>
          </cell>
        </row>
        <row r="21">
          <cell r="C21">
            <v>29</v>
          </cell>
          <cell r="D21">
            <v>46</v>
          </cell>
        </row>
        <row r="22">
          <cell r="C22">
            <v>27</v>
          </cell>
          <cell r="D22">
            <v>40</v>
          </cell>
        </row>
        <row r="23">
          <cell r="C23">
            <v>31</v>
          </cell>
          <cell r="D23">
            <v>38</v>
          </cell>
        </row>
        <row r="24">
          <cell r="C24">
            <v>0</v>
          </cell>
          <cell r="D24">
            <v>0</v>
          </cell>
        </row>
        <row r="25">
          <cell r="C25">
            <v>30</v>
          </cell>
          <cell r="D25">
            <v>40</v>
          </cell>
        </row>
        <row r="26">
          <cell r="C26">
            <v>25</v>
          </cell>
          <cell r="D26">
            <v>35</v>
          </cell>
        </row>
        <row r="27">
          <cell r="C27">
            <v>32</v>
          </cell>
          <cell r="D27">
            <v>42</v>
          </cell>
        </row>
        <row r="28">
          <cell r="C28">
            <v>31</v>
          </cell>
          <cell r="D28">
            <v>45</v>
          </cell>
        </row>
        <row r="29">
          <cell r="C29">
            <v>33</v>
          </cell>
          <cell r="D29">
            <v>36</v>
          </cell>
        </row>
        <row r="30">
          <cell r="C30">
            <v>32</v>
          </cell>
          <cell r="D30">
            <v>39</v>
          </cell>
        </row>
        <row r="31">
          <cell r="C31">
            <v>30</v>
          </cell>
          <cell r="D31">
            <v>41</v>
          </cell>
        </row>
        <row r="32">
          <cell r="C32">
            <v>29</v>
          </cell>
          <cell r="D32">
            <v>46</v>
          </cell>
        </row>
        <row r="33">
          <cell r="C33">
            <v>27</v>
          </cell>
          <cell r="D33">
            <v>40</v>
          </cell>
        </row>
        <row r="34">
          <cell r="C34">
            <v>31</v>
          </cell>
          <cell r="D34">
            <v>38</v>
          </cell>
        </row>
        <row r="35">
          <cell r="C35">
            <v>28</v>
          </cell>
          <cell r="D35">
            <v>37</v>
          </cell>
        </row>
        <row r="36">
          <cell r="C36">
            <v>30</v>
          </cell>
          <cell r="D36">
            <v>40</v>
          </cell>
        </row>
        <row r="37">
          <cell r="C37">
            <v>25</v>
          </cell>
          <cell r="D37">
            <v>35</v>
          </cell>
        </row>
        <row r="38">
          <cell r="C38">
            <v>32</v>
          </cell>
          <cell r="D38">
            <v>42</v>
          </cell>
        </row>
        <row r="39">
          <cell r="C39">
            <v>31</v>
          </cell>
          <cell r="D39">
            <v>45</v>
          </cell>
        </row>
        <row r="40">
          <cell r="C40">
            <v>33</v>
          </cell>
          <cell r="D40">
            <v>36</v>
          </cell>
        </row>
        <row r="41">
          <cell r="C41">
            <v>32</v>
          </cell>
          <cell r="D41">
            <v>39</v>
          </cell>
        </row>
        <row r="42">
          <cell r="C42">
            <v>30</v>
          </cell>
          <cell r="D42">
            <v>41</v>
          </cell>
        </row>
        <row r="43">
          <cell r="C43">
            <v>29</v>
          </cell>
          <cell r="D43">
            <v>46</v>
          </cell>
        </row>
        <row r="44">
          <cell r="C44">
            <v>27</v>
          </cell>
          <cell r="D44">
            <v>40</v>
          </cell>
        </row>
        <row r="45">
          <cell r="C45">
            <v>0</v>
          </cell>
          <cell r="D45">
            <v>0</v>
          </cell>
        </row>
        <row r="46">
          <cell r="C46">
            <v>28</v>
          </cell>
          <cell r="D46">
            <v>37</v>
          </cell>
        </row>
        <row r="47">
          <cell r="C47">
            <v>30</v>
          </cell>
          <cell r="D47">
            <v>40</v>
          </cell>
        </row>
        <row r="48">
          <cell r="C48">
            <v>25</v>
          </cell>
          <cell r="D48">
            <v>35</v>
          </cell>
        </row>
        <row r="49">
          <cell r="C49">
            <v>32</v>
          </cell>
          <cell r="D49">
            <v>42</v>
          </cell>
        </row>
        <row r="50">
          <cell r="C50">
            <v>31</v>
          </cell>
          <cell r="D50">
            <v>45</v>
          </cell>
        </row>
        <row r="51">
          <cell r="C51">
            <v>33</v>
          </cell>
          <cell r="D51">
            <v>36</v>
          </cell>
        </row>
        <row r="52">
          <cell r="C52">
            <v>32</v>
          </cell>
          <cell r="D52">
            <v>39</v>
          </cell>
        </row>
        <row r="53">
          <cell r="C53">
            <v>30</v>
          </cell>
          <cell r="D53">
            <v>41</v>
          </cell>
        </row>
        <row r="54">
          <cell r="C54">
            <v>29</v>
          </cell>
          <cell r="D54">
            <v>46</v>
          </cell>
        </row>
        <row r="55">
          <cell r="C55">
            <v>27</v>
          </cell>
          <cell r="D55">
            <v>40</v>
          </cell>
        </row>
        <row r="56">
          <cell r="C56">
            <v>31</v>
          </cell>
          <cell r="D56">
            <v>38</v>
          </cell>
        </row>
        <row r="57">
          <cell r="C57">
            <v>28</v>
          </cell>
          <cell r="D57">
            <v>37</v>
          </cell>
        </row>
        <row r="58">
          <cell r="C58">
            <v>30</v>
          </cell>
          <cell r="D58">
            <v>40</v>
          </cell>
        </row>
        <row r="59">
          <cell r="C59">
            <v>25</v>
          </cell>
          <cell r="D59">
            <v>35</v>
          </cell>
        </row>
        <row r="60">
          <cell r="C60">
            <v>32</v>
          </cell>
          <cell r="D60">
            <v>42</v>
          </cell>
        </row>
        <row r="61">
          <cell r="C61">
            <v>31</v>
          </cell>
          <cell r="D61">
            <v>45</v>
          </cell>
        </row>
        <row r="62">
          <cell r="C62">
            <v>33</v>
          </cell>
          <cell r="D62">
            <v>36</v>
          </cell>
        </row>
        <row r="63">
          <cell r="C63">
            <v>32</v>
          </cell>
          <cell r="D63">
            <v>39</v>
          </cell>
        </row>
        <row r="64">
          <cell r="C64">
            <v>30</v>
          </cell>
          <cell r="D64">
            <v>41</v>
          </cell>
        </row>
        <row r="65">
          <cell r="C65">
            <v>29</v>
          </cell>
          <cell r="D65">
            <v>46</v>
          </cell>
        </row>
        <row r="66">
          <cell r="C66">
            <v>27</v>
          </cell>
          <cell r="D66">
            <v>40</v>
          </cell>
        </row>
        <row r="67">
          <cell r="C67">
            <v>31</v>
          </cell>
          <cell r="D67">
            <v>38</v>
          </cell>
        </row>
        <row r="68">
          <cell r="C68">
            <v>28</v>
          </cell>
          <cell r="D68">
            <v>37</v>
          </cell>
        </row>
        <row r="69">
          <cell r="C69">
            <v>30</v>
          </cell>
          <cell r="D69">
            <v>40</v>
          </cell>
        </row>
        <row r="70">
          <cell r="C70">
            <v>25</v>
          </cell>
          <cell r="D70">
            <v>35</v>
          </cell>
        </row>
        <row r="71">
          <cell r="C71">
            <v>32</v>
          </cell>
          <cell r="D71">
            <v>42</v>
          </cell>
        </row>
        <row r="72">
          <cell r="C72">
            <v>31</v>
          </cell>
          <cell r="D72">
            <v>45</v>
          </cell>
        </row>
        <row r="73">
          <cell r="C73">
            <v>33</v>
          </cell>
          <cell r="D73">
            <v>36</v>
          </cell>
        </row>
        <row r="74">
          <cell r="C74">
            <v>32</v>
          </cell>
          <cell r="D74">
            <v>39</v>
          </cell>
        </row>
        <row r="75">
          <cell r="C75">
            <v>30</v>
          </cell>
          <cell r="D75">
            <v>41</v>
          </cell>
        </row>
        <row r="76">
          <cell r="C76">
            <v>29</v>
          </cell>
          <cell r="D76">
            <v>46</v>
          </cell>
        </row>
        <row r="77">
          <cell r="C77">
            <v>27</v>
          </cell>
          <cell r="D77">
            <v>40</v>
          </cell>
        </row>
        <row r="78">
          <cell r="C78">
            <v>31</v>
          </cell>
          <cell r="D78">
            <v>38</v>
          </cell>
        </row>
        <row r="79">
          <cell r="C79">
            <v>28</v>
          </cell>
          <cell r="D79">
            <v>37</v>
          </cell>
        </row>
        <row r="80">
          <cell r="C80">
            <v>30</v>
          </cell>
          <cell r="D80">
            <v>40</v>
          </cell>
        </row>
        <row r="81">
          <cell r="C81">
            <v>25</v>
          </cell>
          <cell r="D81">
            <v>35</v>
          </cell>
        </row>
        <row r="82">
          <cell r="C82">
            <v>32</v>
          </cell>
          <cell r="D82">
            <v>42</v>
          </cell>
        </row>
        <row r="83">
          <cell r="C83">
            <v>31</v>
          </cell>
          <cell r="D83">
            <v>45</v>
          </cell>
        </row>
        <row r="84">
          <cell r="C84">
            <v>33</v>
          </cell>
          <cell r="D84">
            <v>36</v>
          </cell>
        </row>
        <row r="85">
          <cell r="C85">
            <v>32</v>
          </cell>
          <cell r="D85">
            <v>39</v>
          </cell>
        </row>
        <row r="86">
          <cell r="C86">
            <v>30</v>
          </cell>
          <cell r="D86">
            <v>41</v>
          </cell>
        </row>
        <row r="87">
          <cell r="C87">
            <v>29</v>
          </cell>
          <cell r="D87">
            <v>46</v>
          </cell>
        </row>
        <row r="88">
          <cell r="C88">
            <v>27</v>
          </cell>
          <cell r="D88">
            <v>40</v>
          </cell>
        </row>
        <row r="89">
          <cell r="C89">
            <v>31</v>
          </cell>
          <cell r="D89">
            <v>38</v>
          </cell>
        </row>
        <row r="90">
          <cell r="C90">
            <v>28</v>
          </cell>
          <cell r="D90">
            <v>37</v>
          </cell>
        </row>
        <row r="91">
          <cell r="C91">
            <v>30</v>
          </cell>
          <cell r="D91">
            <v>40</v>
          </cell>
        </row>
        <row r="92">
          <cell r="C92">
            <v>25</v>
          </cell>
          <cell r="D92">
            <v>35</v>
          </cell>
        </row>
        <row r="93">
          <cell r="C93">
            <v>32</v>
          </cell>
          <cell r="D93">
            <v>42</v>
          </cell>
        </row>
        <row r="94">
          <cell r="C94">
            <v>31</v>
          </cell>
          <cell r="D94">
            <v>45</v>
          </cell>
        </row>
        <row r="95">
          <cell r="C95">
            <v>33</v>
          </cell>
          <cell r="D95">
            <v>36</v>
          </cell>
        </row>
        <row r="96">
          <cell r="C96">
            <v>32</v>
          </cell>
          <cell r="D96">
            <v>39</v>
          </cell>
        </row>
        <row r="97">
          <cell r="C97">
            <v>30</v>
          </cell>
          <cell r="D97">
            <v>41</v>
          </cell>
        </row>
        <row r="98">
          <cell r="C98">
            <v>29</v>
          </cell>
          <cell r="D98">
            <v>46</v>
          </cell>
        </row>
        <row r="99">
          <cell r="C99">
            <v>27</v>
          </cell>
          <cell r="D99">
            <v>40</v>
          </cell>
        </row>
        <row r="100">
          <cell r="C100">
            <v>31</v>
          </cell>
          <cell r="D100">
            <v>38</v>
          </cell>
        </row>
        <row r="101">
          <cell r="C101">
            <v>28</v>
          </cell>
          <cell r="D101">
            <v>37</v>
          </cell>
        </row>
        <row r="102">
          <cell r="C102">
            <v>30</v>
          </cell>
          <cell r="D102">
            <v>40</v>
          </cell>
        </row>
        <row r="103">
          <cell r="C103">
            <v>25</v>
          </cell>
          <cell r="D103">
            <v>35</v>
          </cell>
        </row>
        <row r="104">
          <cell r="C104">
            <v>32</v>
          </cell>
          <cell r="D104">
            <v>42</v>
          </cell>
        </row>
        <row r="105">
          <cell r="C105">
            <v>31</v>
          </cell>
          <cell r="D105">
            <v>45</v>
          </cell>
        </row>
        <row r="106">
          <cell r="C106">
            <v>33</v>
          </cell>
          <cell r="D106">
            <v>36</v>
          </cell>
        </row>
        <row r="107">
          <cell r="C107">
            <v>32</v>
          </cell>
          <cell r="D107">
            <v>39</v>
          </cell>
        </row>
        <row r="108">
          <cell r="C108">
            <v>30</v>
          </cell>
          <cell r="D108">
            <v>41</v>
          </cell>
        </row>
        <row r="109">
          <cell r="C109">
            <v>29</v>
          </cell>
          <cell r="D109">
            <v>46</v>
          </cell>
        </row>
        <row r="110">
          <cell r="C110">
            <v>27</v>
          </cell>
          <cell r="D110">
            <v>40</v>
          </cell>
        </row>
        <row r="111">
          <cell r="C111">
            <v>31</v>
          </cell>
          <cell r="D111">
            <v>38</v>
          </cell>
        </row>
        <row r="112">
          <cell r="C112">
            <v>28</v>
          </cell>
          <cell r="D112">
            <v>37</v>
          </cell>
        </row>
        <row r="113">
          <cell r="C113">
            <v>30</v>
          </cell>
          <cell r="D113">
            <v>40</v>
          </cell>
        </row>
        <row r="114">
          <cell r="C114">
            <v>25</v>
          </cell>
          <cell r="D114">
            <v>35</v>
          </cell>
        </row>
        <row r="115">
          <cell r="C115">
            <v>32</v>
          </cell>
          <cell r="D115">
            <v>42</v>
          </cell>
        </row>
        <row r="116">
          <cell r="C116">
            <v>31</v>
          </cell>
          <cell r="D116">
            <v>45</v>
          </cell>
        </row>
        <row r="117">
          <cell r="C117">
            <v>33</v>
          </cell>
          <cell r="D117">
            <v>36</v>
          </cell>
        </row>
        <row r="118">
          <cell r="C118">
            <v>32</v>
          </cell>
          <cell r="D118">
            <v>39</v>
          </cell>
        </row>
        <row r="119">
          <cell r="C119">
            <v>30</v>
          </cell>
          <cell r="D119">
            <v>41</v>
          </cell>
        </row>
        <row r="120">
          <cell r="C120">
            <v>29</v>
          </cell>
          <cell r="D120">
            <v>46</v>
          </cell>
        </row>
        <row r="121">
          <cell r="C121">
            <v>27</v>
          </cell>
          <cell r="D121">
            <v>40</v>
          </cell>
        </row>
        <row r="122">
          <cell r="C122">
            <v>0</v>
          </cell>
          <cell r="D122">
            <v>0</v>
          </cell>
        </row>
        <row r="123">
          <cell r="C123">
            <v>0</v>
          </cell>
          <cell r="D123">
            <v>0</v>
          </cell>
        </row>
        <row r="124">
          <cell r="C124">
            <v>0</v>
          </cell>
          <cell r="D124">
            <v>0</v>
          </cell>
        </row>
        <row r="125">
          <cell r="C125">
            <v>0</v>
          </cell>
          <cell r="D125">
            <v>0</v>
          </cell>
        </row>
        <row r="126">
          <cell r="C126">
            <v>0</v>
          </cell>
          <cell r="D126">
            <v>0</v>
          </cell>
        </row>
        <row r="127">
          <cell r="C127">
            <v>0</v>
          </cell>
          <cell r="D127">
            <v>0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7th Subject"/>
    </sheetNames>
    <sheetDataSet>
      <sheetData sheetId="0">
        <row r="3">
          <cell r="C3">
            <v>30</v>
          </cell>
          <cell r="D3">
            <v>40</v>
          </cell>
        </row>
        <row r="4">
          <cell r="C4">
            <v>25</v>
          </cell>
          <cell r="D4">
            <v>35</v>
          </cell>
        </row>
        <row r="5">
          <cell r="C5">
            <v>32</v>
          </cell>
          <cell r="D5">
            <v>42</v>
          </cell>
        </row>
        <row r="6">
          <cell r="C6">
            <v>31</v>
          </cell>
          <cell r="D6">
            <v>45</v>
          </cell>
        </row>
        <row r="7">
          <cell r="C7">
            <v>33</v>
          </cell>
          <cell r="D7">
            <v>36</v>
          </cell>
        </row>
        <row r="8">
          <cell r="C8">
            <v>32</v>
          </cell>
          <cell r="D8">
            <v>39</v>
          </cell>
        </row>
        <row r="9">
          <cell r="C9">
            <v>30</v>
          </cell>
          <cell r="D9">
            <v>41</v>
          </cell>
        </row>
        <row r="10">
          <cell r="C10">
            <v>29</v>
          </cell>
          <cell r="D10">
            <v>46</v>
          </cell>
        </row>
        <row r="11">
          <cell r="C11">
            <v>27</v>
          </cell>
          <cell r="D11">
            <v>40</v>
          </cell>
        </row>
        <row r="12">
          <cell r="C12">
            <v>31</v>
          </cell>
          <cell r="D12">
            <v>38</v>
          </cell>
        </row>
        <row r="13">
          <cell r="C13">
            <v>28</v>
          </cell>
          <cell r="D13">
            <v>37</v>
          </cell>
        </row>
        <row r="14">
          <cell r="C14">
            <v>30</v>
          </cell>
          <cell r="D14">
            <v>40</v>
          </cell>
        </row>
        <row r="15">
          <cell r="C15">
            <v>25</v>
          </cell>
          <cell r="D15">
            <v>35</v>
          </cell>
        </row>
        <row r="16">
          <cell r="C16">
            <v>32</v>
          </cell>
          <cell r="D16">
            <v>42</v>
          </cell>
        </row>
        <row r="17">
          <cell r="C17">
            <v>31</v>
          </cell>
          <cell r="D17">
            <v>45</v>
          </cell>
        </row>
        <row r="18">
          <cell r="C18">
            <v>33</v>
          </cell>
          <cell r="D18">
            <v>36</v>
          </cell>
        </row>
        <row r="19">
          <cell r="C19">
            <v>32</v>
          </cell>
          <cell r="D19">
            <v>39</v>
          </cell>
        </row>
        <row r="20">
          <cell r="C20">
            <v>30</v>
          </cell>
          <cell r="D20">
            <v>41</v>
          </cell>
        </row>
        <row r="21">
          <cell r="C21">
            <v>29</v>
          </cell>
          <cell r="D21">
            <v>46</v>
          </cell>
        </row>
        <row r="22">
          <cell r="C22">
            <v>27</v>
          </cell>
          <cell r="D22">
            <v>40</v>
          </cell>
        </row>
        <row r="23">
          <cell r="C23">
            <v>31</v>
          </cell>
          <cell r="D23">
            <v>38</v>
          </cell>
        </row>
        <row r="24">
          <cell r="C24">
            <v>0</v>
          </cell>
          <cell r="D24">
            <v>0</v>
          </cell>
        </row>
        <row r="25">
          <cell r="C25">
            <v>30</v>
          </cell>
          <cell r="D25">
            <v>40</v>
          </cell>
        </row>
        <row r="26">
          <cell r="C26">
            <v>25</v>
          </cell>
          <cell r="D26">
            <v>35</v>
          </cell>
        </row>
        <row r="27">
          <cell r="C27">
            <v>32</v>
          </cell>
          <cell r="D27">
            <v>42</v>
          </cell>
        </row>
        <row r="28">
          <cell r="C28">
            <v>31</v>
          </cell>
          <cell r="D28">
            <v>45</v>
          </cell>
        </row>
        <row r="29">
          <cell r="C29">
            <v>33</v>
          </cell>
          <cell r="D29">
            <v>36</v>
          </cell>
        </row>
        <row r="30">
          <cell r="C30">
            <v>32</v>
          </cell>
          <cell r="D30">
            <v>39</v>
          </cell>
        </row>
        <row r="31">
          <cell r="C31">
            <v>30</v>
          </cell>
          <cell r="D31">
            <v>41</v>
          </cell>
        </row>
        <row r="32">
          <cell r="C32">
            <v>29</v>
          </cell>
          <cell r="D32">
            <v>46</v>
          </cell>
        </row>
        <row r="33">
          <cell r="C33">
            <v>27</v>
          </cell>
          <cell r="D33">
            <v>40</v>
          </cell>
        </row>
        <row r="34">
          <cell r="C34">
            <v>31</v>
          </cell>
          <cell r="D34">
            <v>38</v>
          </cell>
        </row>
        <row r="35">
          <cell r="C35">
            <v>28</v>
          </cell>
          <cell r="D35">
            <v>37</v>
          </cell>
        </row>
        <row r="36">
          <cell r="C36">
            <v>30</v>
          </cell>
          <cell r="D36">
            <v>40</v>
          </cell>
        </row>
        <row r="37">
          <cell r="C37">
            <v>25</v>
          </cell>
          <cell r="D37">
            <v>35</v>
          </cell>
        </row>
        <row r="38">
          <cell r="C38">
            <v>32</v>
          </cell>
          <cell r="D38">
            <v>42</v>
          </cell>
        </row>
        <row r="39">
          <cell r="C39">
            <v>31</v>
          </cell>
          <cell r="D39">
            <v>45</v>
          </cell>
        </row>
        <row r="40">
          <cell r="C40">
            <v>33</v>
          </cell>
          <cell r="D40">
            <v>36</v>
          </cell>
        </row>
        <row r="41">
          <cell r="C41">
            <v>32</v>
          </cell>
          <cell r="D41">
            <v>39</v>
          </cell>
        </row>
        <row r="42">
          <cell r="C42">
            <v>30</v>
          </cell>
          <cell r="D42">
            <v>41</v>
          </cell>
        </row>
        <row r="43">
          <cell r="C43">
            <v>29</v>
          </cell>
          <cell r="D43">
            <v>46</v>
          </cell>
        </row>
        <row r="44">
          <cell r="C44">
            <v>27</v>
          </cell>
          <cell r="D44">
            <v>40</v>
          </cell>
        </row>
        <row r="45">
          <cell r="C45">
            <v>0</v>
          </cell>
          <cell r="D45">
            <v>0</v>
          </cell>
        </row>
        <row r="46">
          <cell r="C46">
            <v>28</v>
          </cell>
          <cell r="D46">
            <v>37</v>
          </cell>
        </row>
        <row r="47">
          <cell r="C47">
            <v>30</v>
          </cell>
          <cell r="D47">
            <v>40</v>
          </cell>
        </row>
        <row r="48">
          <cell r="C48">
            <v>25</v>
          </cell>
          <cell r="D48">
            <v>35</v>
          </cell>
        </row>
        <row r="49">
          <cell r="C49">
            <v>32</v>
          </cell>
          <cell r="D49">
            <v>42</v>
          </cell>
        </row>
        <row r="50">
          <cell r="C50">
            <v>31</v>
          </cell>
          <cell r="D50">
            <v>45</v>
          </cell>
        </row>
        <row r="51">
          <cell r="C51">
            <v>33</v>
          </cell>
          <cell r="D51">
            <v>36</v>
          </cell>
        </row>
        <row r="52">
          <cell r="C52">
            <v>32</v>
          </cell>
          <cell r="D52">
            <v>39</v>
          </cell>
        </row>
        <row r="53">
          <cell r="C53">
            <v>30</v>
          </cell>
          <cell r="D53">
            <v>41</v>
          </cell>
        </row>
        <row r="54">
          <cell r="C54">
            <v>29</v>
          </cell>
          <cell r="D54">
            <v>46</v>
          </cell>
        </row>
        <row r="55">
          <cell r="C55">
            <v>27</v>
          </cell>
          <cell r="D55">
            <v>40</v>
          </cell>
        </row>
        <row r="56">
          <cell r="C56">
            <v>31</v>
          </cell>
          <cell r="D56">
            <v>38</v>
          </cell>
        </row>
        <row r="57">
          <cell r="C57">
            <v>28</v>
          </cell>
          <cell r="D57">
            <v>37</v>
          </cell>
        </row>
        <row r="58">
          <cell r="C58">
            <v>30</v>
          </cell>
          <cell r="D58">
            <v>40</v>
          </cell>
        </row>
        <row r="59">
          <cell r="C59">
            <v>25</v>
          </cell>
          <cell r="D59">
            <v>35</v>
          </cell>
        </row>
        <row r="60">
          <cell r="C60">
            <v>32</v>
          </cell>
          <cell r="D60">
            <v>42</v>
          </cell>
        </row>
        <row r="61">
          <cell r="C61">
            <v>31</v>
          </cell>
          <cell r="D61">
            <v>45</v>
          </cell>
        </row>
        <row r="62">
          <cell r="C62">
            <v>33</v>
          </cell>
          <cell r="D62">
            <v>36</v>
          </cell>
        </row>
        <row r="63">
          <cell r="C63">
            <v>32</v>
          </cell>
          <cell r="D63">
            <v>39</v>
          </cell>
        </row>
        <row r="64">
          <cell r="C64">
            <v>30</v>
          </cell>
          <cell r="D64">
            <v>41</v>
          </cell>
        </row>
        <row r="65">
          <cell r="C65">
            <v>29</v>
          </cell>
          <cell r="D65">
            <v>46</v>
          </cell>
        </row>
        <row r="66">
          <cell r="C66">
            <v>27</v>
          </cell>
          <cell r="D66">
            <v>40</v>
          </cell>
        </row>
        <row r="67">
          <cell r="C67">
            <v>31</v>
          </cell>
          <cell r="D67">
            <v>38</v>
          </cell>
        </row>
        <row r="68">
          <cell r="C68">
            <v>28</v>
          </cell>
          <cell r="D68">
            <v>37</v>
          </cell>
        </row>
        <row r="69">
          <cell r="C69">
            <v>30</v>
          </cell>
          <cell r="D69">
            <v>40</v>
          </cell>
        </row>
        <row r="70">
          <cell r="C70">
            <v>25</v>
          </cell>
          <cell r="D70">
            <v>35</v>
          </cell>
        </row>
        <row r="71">
          <cell r="C71">
            <v>32</v>
          </cell>
          <cell r="D71">
            <v>42</v>
          </cell>
        </row>
        <row r="72">
          <cell r="C72">
            <v>31</v>
          </cell>
          <cell r="D72">
            <v>45</v>
          </cell>
        </row>
        <row r="73">
          <cell r="C73">
            <v>33</v>
          </cell>
          <cell r="D73">
            <v>36</v>
          </cell>
        </row>
        <row r="74">
          <cell r="C74">
            <v>32</v>
          </cell>
          <cell r="D74">
            <v>39</v>
          </cell>
        </row>
        <row r="75">
          <cell r="C75">
            <v>30</v>
          </cell>
          <cell r="D75">
            <v>41</v>
          </cell>
        </row>
        <row r="76">
          <cell r="C76">
            <v>29</v>
          </cell>
          <cell r="D76">
            <v>46</v>
          </cell>
        </row>
        <row r="77">
          <cell r="C77">
            <v>27</v>
          </cell>
          <cell r="D77">
            <v>40</v>
          </cell>
        </row>
        <row r="78">
          <cell r="C78">
            <v>31</v>
          </cell>
          <cell r="D78">
            <v>38</v>
          </cell>
        </row>
        <row r="79">
          <cell r="C79">
            <v>28</v>
          </cell>
          <cell r="D79">
            <v>37</v>
          </cell>
        </row>
        <row r="80">
          <cell r="C80">
            <v>30</v>
          </cell>
          <cell r="D80">
            <v>40</v>
          </cell>
        </row>
        <row r="81">
          <cell r="C81">
            <v>25</v>
          </cell>
          <cell r="D81">
            <v>35</v>
          </cell>
        </row>
        <row r="82">
          <cell r="C82">
            <v>32</v>
          </cell>
          <cell r="D82">
            <v>42</v>
          </cell>
        </row>
        <row r="83">
          <cell r="C83">
            <v>31</v>
          </cell>
          <cell r="D83">
            <v>45</v>
          </cell>
        </row>
        <row r="84">
          <cell r="C84">
            <v>33</v>
          </cell>
          <cell r="D84">
            <v>36</v>
          </cell>
        </row>
        <row r="85">
          <cell r="C85">
            <v>32</v>
          </cell>
          <cell r="D85">
            <v>39</v>
          </cell>
        </row>
        <row r="86">
          <cell r="C86">
            <v>30</v>
          </cell>
          <cell r="D86">
            <v>41</v>
          </cell>
        </row>
        <row r="87">
          <cell r="C87">
            <v>29</v>
          </cell>
          <cell r="D87">
            <v>46</v>
          </cell>
        </row>
        <row r="88">
          <cell r="C88">
            <v>27</v>
          </cell>
          <cell r="D88">
            <v>40</v>
          </cell>
        </row>
        <row r="89">
          <cell r="C89">
            <v>31</v>
          </cell>
          <cell r="D89">
            <v>38</v>
          </cell>
        </row>
        <row r="90">
          <cell r="C90">
            <v>28</v>
          </cell>
          <cell r="D90">
            <v>37</v>
          </cell>
        </row>
        <row r="91">
          <cell r="C91">
            <v>30</v>
          </cell>
          <cell r="D91">
            <v>40</v>
          </cell>
        </row>
        <row r="92">
          <cell r="C92">
            <v>25</v>
          </cell>
          <cell r="D92">
            <v>35</v>
          </cell>
        </row>
        <row r="93">
          <cell r="C93">
            <v>32</v>
          </cell>
          <cell r="D93">
            <v>42</v>
          </cell>
        </row>
        <row r="94">
          <cell r="C94">
            <v>31</v>
          </cell>
          <cell r="D94">
            <v>45</v>
          </cell>
        </row>
        <row r="95">
          <cell r="C95">
            <v>33</v>
          </cell>
          <cell r="D95">
            <v>36</v>
          </cell>
        </row>
        <row r="96">
          <cell r="C96">
            <v>32</v>
          </cell>
          <cell r="D96">
            <v>39</v>
          </cell>
        </row>
        <row r="97">
          <cell r="C97">
            <v>30</v>
          </cell>
          <cell r="D97">
            <v>41</v>
          </cell>
        </row>
        <row r="98">
          <cell r="C98">
            <v>29</v>
          </cell>
          <cell r="D98">
            <v>46</v>
          </cell>
        </row>
        <row r="99">
          <cell r="C99">
            <v>27</v>
          </cell>
          <cell r="D99">
            <v>40</v>
          </cell>
        </row>
        <row r="100">
          <cell r="C100">
            <v>31</v>
          </cell>
          <cell r="D100">
            <v>38</v>
          </cell>
        </row>
        <row r="101">
          <cell r="C101">
            <v>28</v>
          </cell>
          <cell r="D101">
            <v>37</v>
          </cell>
        </row>
        <row r="102">
          <cell r="C102">
            <v>30</v>
          </cell>
          <cell r="D102">
            <v>40</v>
          </cell>
        </row>
        <row r="103">
          <cell r="C103">
            <v>25</v>
          </cell>
          <cell r="D103">
            <v>35</v>
          </cell>
        </row>
        <row r="104">
          <cell r="C104">
            <v>32</v>
          </cell>
          <cell r="D104">
            <v>42</v>
          </cell>
        </row>
        <row r="105">
          <cell r="C105">
            <v>31</v>
          </cell>
          <cell r="D105">
            <v>45</v>
          </cell>
        </row>
        <row r="106">
          <cell r="C106">
            <v>33</v>
          </cell>
          <cell r="D106">
            <v>36</v>
          </cell>
        </row>
        <row r="107">
          <cell r="C107">
            <v>32</v>
          </cell>
          <cell r="D107">
            <v>39</v>
          </cell>
        </row>
        <row r="108">
          <cell r="C108">
            <v>30</v>
          </cell>
          <cell r="D108">
            <v>41</v>
          </cell>
        </row>
        <row r="109">
          <cell r="C109">
            <v>29</v>
          </cell>
          <cell r="D109">
            <v>46</v>
          </cell>
        </row>
        <row r="110">
          <cell r="C110">
            <v>27</v>
          </cell>
          <cell r="D110">
            <v>40</v>
          </cell>
        </row>
        <row r="111">
          <cell r="C111">
            <v>31</v>
          </cell>
          <cell r="D111">
            <v>38</v>
          </cell>
        </row>
        <row r="112">
          <cell r="C112">
            <v>28</v>
          </cell>
          <cell r="D112">
            <v>37</v>
          </cell>
        </row>
        <row r="113">
          <cell r="C113">
            <v>30</v>
          </cell>
          <cell r="D113">
            <v>40</v>
          </cell>
        </row>
        <row r="114">
          <cell r="C114">
            <v>25</v>
          </cell>
          <cell r="D114">
            <v>35</v>
          </cell>
        </row>
        <row r="115">
          <cell r="C115">
            <v>32</v>
          </cell>
          <cell r="D115">
            <v>42</v>
          </cell>
        </row>
        <row r="116">
          <cell r="C116">
            <v>31</v>
          </cell>
          <cell r="D116">
            <v>45</v>
          </cell>
        </row>
        <row r="117">
          <cell r="C117">
            <v>33</v>
          </cell>
          <cell r="D117">
            <v>36</v>
          </cell>
        </row>
        <row r="118">
          <cell r="C118">
            <v>32</v>
          </cell>
          <cell r="D118">
            <v>39</v>
          </cell>
        </row>
        <row r="119">
          <cell r="C119">
            <v>30</v>
          </cell>
          <cell r="D119">
            <v>41</v>
          </cell>
        </row>
        <row r="120">
          <cell r="C120">
            <v>29</v>
          </cell>
          <cell r="D120">
            <v>46</v>
          </cell>
        </row>
        <row r="121">
          <cell r="C121">
            <v>27</v>
          </cell>
          <cell r="D121">
            <v>40</v>
          </cell>
        </row>
        <row r="122">
          <cell r="C122">
            <v>0</v>
          </cell>
          <cell r="D122">
            <v>0</v>
          </cell>
        </row>
        <row r="123">
          <cell r="C123">
            <v>0</v>
          </cell>
          <cell r="D123">
            <v>0</v>
          </cell>
        </row>
        <row r="124">
          <cell r="C124">
            <v>0</v>
          </cell>
          <cell r="D124">
            <v>0</v>
          </cell>
        </row>
        <row r="125">
          <cell r="C125">
            <v>0</v>
          </cell>
          <cell r="D125">
            <v>0</v>
          </cell>
        </row>
        <row r="126">
          <cell r="C126">
            <v>0</v>
          </cell>
          <cell r="D126">
            <v>0</v>
          </cell>
        </row>
        <row r="127">
          <cell r="C127">
            <v>0</v>
          </cell>
          <cell r="D127">
            <v>0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th Subject"/>
    </sheetNames>
    <sheetDataSet>
      <sheetData sheetId="0">
        <row r="3">
          <cell r="C3">
            <v>30</v>
          </cell>
          <cell r="D3">
            <v>40</v>
          </cell>
        </row>
        <row r="4">
          <cell r="C4">
            <v>25</v>
          </cell>
          <cell r="D4">
            <v>35</v>
          </cell>
        </row>
        <row r="5">
          <cell r="C5">
            <v>32</v>
          </cell>
          <cell r="D5">
            <v>42</v>
          </cell>
        </row>
        <row r="6">
          <cell r="C6">
            <v>31</v>
          </cell>
          <cell r="D6">
            <v>45</v>
          </cell>
        </row>
        <row r="7">
          <cell r="C7">
            <v>33</v>
          </cell>
          <cell r="D7">
            <v>36</v>
          </cell>
        </row>
        <row r="8">
          <cell r="C8">
            <v>32</v>
          </cell>
          <cell r="D8">
            <v>39</v>
          </cell>
        </row>
        <row r="9">
          <cell r="C9">
            <v>30</v>
          </cell>
          <cell r="D9">
            <v>41</v>
          </cell>
        </row>
        <row r="10">
          <cell r="C10">
            <v>29</v>
          </cell>
          <cell r="D10">
            <v>46</v>
          </cell>
        </row>
        <row r="11">
          <cell r="C11">
            <v>27</v>
          </cell>
          <cell r="D11">
            <v>40</v>
          </cell>
        </row>
        <row r="12">
          <cell r="C12">
            <v>31</v>
          </cell>
          <cell r="D12">
            <v>38</v>
          </cell>
        </row>
        <row r="13">
          <cell r="C13">
            <v>28</v>
          </cell>
          <cell r="D13">
            <v>37</v>
          </cell>
        </row>
        <row r="14">
          <cell r="C14">
            <v>30</v>
          </cell>
          <cell r="D14">
            <v>40</v>
          </cell>
        </row>
        <row r="15">
          <cell r="C15">
            <v>25</v>
          </cell>
          <cell r="D15">
            <v>35</v>
          </cell>
        </row>
        <row r="16">
          <cell r="C16">
            <v>32</v>
          </cell>
          <cell r="D16">
            <v>42</v>
          </cell>
        </row>
        <row r="17">
          <cell r="C17">
            <v>31</v>
          </cell>
          <cell r="D17">
            <v>45</v>
          </cell>
        </row>
        <row r="18">
          <cell r="C18">
            <v>33</v>
          </cell>
          <cell r="D18">
            <v>36</v>
          </cell>
        </row>
        <row r="19">
          <cell r="C19">
            <v>32</v>
          </cell>
          <cell r="D19">
            <v>39</v>
          </cell>
        </row>
        <row r="20">
          <cell r="C20">
            <v>30</v>
          </cell>
          <cell r="D20">
            <v>41</v>
          </cell>
        </row>
        <row r="21">
          <cell r="C21">
            <v>29</v>
          </cell>
          <cell r="D21">
            <v>46</v>
          </cell>
        </row>
        <row r="22">
          <cell r="C22">
            <v>27</v>
          </cell>
          <cell r="D22">
            <v>40</v>
          </cell>
        </row>
        <row r="23">
          <cell r="C23">
            <v>31</v>
          </cell>
          <cell r="D23">
            <v>38</v>
          </cell>
        </row>
        <row r="24">
          <cell r="C24">
            <v>0</v>
          </cell>
          <cell r="D24">
            <v>0</v>
          </cell>
        </row>
        <row r="25">
          <cell r="C25">
            <v>30</v>
          </cell>
          <cell r="D25">
            <v>40</v>
          </cell>
        </row>
        <row r="26">
          <cell r="C26">
            <v>25</v>
          </cell>
          <cell r="D26">
            <v>35</v>
          </cell>
        </row>
        <row r="27">
          <cell r="C27">
            <v>32</v>
          </cell>
          <cell r="D27">
            <v>42</v>
          </cell>
        </row>
        <row r="28">
          <cell r="C28">
            <v>31</v>
          </cell>
          <cell r="D28">
            <v>45</v>
          </cell>
        </row>
        <row r="29">
          <cell r="C29">
            <v>33</v>
          </cell>
          <cell r="D29">
            <v>36</v>
          </cell>
        </row>
        <row r="30">
          <cell r="C30">
            <v>32</v>
          </cell>
          <cell r="D30">
            <v>39</v>
          </cell>
        </row>
        <row r="31">
          <cell r="C31">
            <v>30</v>
          </cell>
          <cell r="D31">
            <v>41</v>
          </cell>
        </row>
        <row r="32">
          <cell r="C32">
            <v>29</v>
          </cell>
          <cell r="D32">
            <v>46</v>
          </cell>
        </row>
        <row r="33">
          <cell r="C33">
            <v>27</v>
          </cell>
          <cell r="D33">
            <v>40</v>
          </cell>
        </row>
        <row r="34">
          <cell r="C34">
            <v>31</v>
          </cell>
          <cell r="D34">
            <v>38</v>
          </cell>
        </row>
        <row r="35">
          <cell r="C35">
            <v>28</v>
          </cell>
          <cell r="D35">
            <v>37</v>
          </cell>
        </row>
        <row r="36">
          <cell r="C36">
            <v>30</v>
          </cell>
          <cell r="D36">
            <v>40</v>
          </cell>
        </row>
        <row r="37">
          <cell r="C37">
            <v>25</v>
          </cell>
          <cell r="D37">
            <v>35</v>
          </cell>
        </row>
        <row r="38">
          <cell r="C38">
            <v>32</v>
          </cell>
          <cell r="D38">
            <v>42</v>
          </cell>
        </row>
        <row r="39">
          <cell r="C39">
            <v>31</v>
          </cell>
          <cell r="D39">
            <v>45</v>
          </cell>
        </row>
        <row r="40">
          <cell r="C40">
            <v>33</v>
          </cell>
          <cell r="D40">
            <v>36</v>
          </cell>
        </row>
        <row r="41">
          <cell r="C41">
            <v>32</v>
          </cell>
          <cell r="D41">
            <v>39</v>
          </cell>
        </row>
        <row r="42">
          <cell r="C42">
            <v>30</v>
          </cell>
          <cell r="D42">
            <v>41</v>
          </cell>
        </row>
        <row r="43">
          <cell r="C43">
            <v>29</v>
          </cell>
          <cell r="D43">
            <v>46</v>
          </cell>
        </row>
        <row r="44">
          <cell r="C44">
            <v>27</v>
          </cell>
          <cell r="D44">
            <v>40</v>
          </cell>
        </row>
        <row r="45">
          <cell r="C45">
            <v>0</v>
          </cell>
          <cell r="D45">
            <v>0</v>
          </cell>
        </row>
        <row r="46">
          <cell r="C46">
            <v>28</v>
          </cell>
          <cell r="D46">
            <v>37</v>
          </cell>
        </row>
        <row r="47">
          <cell r="C47">
            <v>30</v>
          </cell>
          <cell r="D47">
            <v>40</v>
          </cell>
        </row>
        <row r="48">
          <cell r="C48">
            <v>25</v>
          </cell>
          <cell r="D48">
            <v>35</v>
          </cell>
        </row>
        <row r="49">
          <cell r="C49">
            <v>32</v>
          </cell>
          <cell r="D49">
            <v>42</v>
          </cell>
        </row>
        <row r="50">
          <cell r="C50">
            <v>31</v>
          </cell>
          <cell r="D50">
            <v>45</v>
          </cell>
        </row>
        <row r="51">
          <cell r="C51">
            <v>33</v>
          </cell>
          <cell r="D51">
            <v>36</v>
          </cell>
        </row>
        <row r="52">
          <cell r="C52">
            <v>32</v>
          </cell>
          <cell r="D52">
            <v>39</v>
          </cell>
        </row>
        <row r="53">
          <cell r="C53">
            <v>30</v>
          </cell>
          <cell r="D53">
            <v>41</v>
          </cell>
        </row>
        <row r="54">
          <cell r="C54">
            <v>29</v>
          </cell>
          <cell r="D54">
            <v>46</v>
          </cell>
        </row>
        <row r="55">
          <cell r="C55">
            <v>27</v>
          </cell>
          <cell r="D55">
            <v>40</v>
          </cell>
        </row>
        <row r="56">
          <cell r="C56">
            <v>31</v>
          </cell>
          <cell r="D56">
            <v>38</v>
          </cell>
        </row>
        <row r="57">
          <cell r="C57">
            <v>28</v>
          </cell>
          <cell r="D57">
            <v>37</v>
          </cell>
        </row>
        <row r="58">
          <cell r="C58">
            <v>30</v>
          </cell>
          <cell r="D58">
            <v>40</v>
          </cell>
        </row>
        <row r="59">
          <cell r="C59">
            <v>25</v>
          </cell>
          <cell r="D59">
            <v>35</v>
          </cell>
        </row>
        <row r="60">
          <cell r="C60">
            <v>32</v>
          </cell>
          <cell r="D60">
            <v>42</v>
          </cell>
        </row>
        <row r="61">
          <cell r="C61">
            <v>31</v>
          </cell>
          <cell r="D61">
            <v>45</v>
          </cell>
        </row>
        <row r="62">
          <cell r="C62">
            <v>33</v>
          </cell>
          <cell r="D62">
            <v>36</v>
          </cell>
        </row>
        <row r="63">
          <cell r="C63">
            <v>32</v>
          </cell>
          <cell r="D63">
            <v>39</v>
          </cell>
        </row>
        <row r="64">
          <cell r="C64">
            <v>30</v>
          </cell>
          <cell r="D64">
            <v>41</v>
          </cell>
        </row>
        <row r="65">
          <cell r="C65">
            <v>29</v>
          </cell>
          <cell r="D65">
            <v>46</v>
          </cell>
        </row>
        <row r="66">
          <cell r="C66">
            <v>27</v>
          </cell>
          <cell r="D66">
            <v>40</v>
          </cell>
        </row>
        <row r="67">
          <cell r="C67">
            <v>31</v>
          </cell>
          <cell r="D67">
            <v>38</v>
          </cell>
        </row>
        <row r="68">
          <cell r="C68">
            <v>28</v>
          </cell>
          <cell r="D68">
            <v>37</v>
          </cell>
        </row>
        <row r="69">
          <cell r="C69">
            <v>30</v>
          </cell>
          <cell r="D69">
            <v>40</v>
          </cell>
        </row>
        <row r="70">
          <cell r="C70">
            <v>25</v>
          </cell>
          <cell r="D70">
            <v>35</v>
          </cell>
        </row>
        <row r="71">
          <cell r="C71">
            <v>32</v>
          </cell>
          <cell r="D71">
            <v>42</v>
          </cell>
        </row>
        <row r="72">
          <cell r="C72">
            <v>31</v>
          </cell>
          <cell r="D72">
            <v>45</v>
          </cell>
        </row>
        <row r="73">
          <cell r="C73">
            <v>33</v>
          </cell>
          <cell r="D73">
            <v>36</v>
          </cell>
        </row>
        <row r="74">
          <cell r="C74">
            <v>32</v>
          </cell>
          <cell r="D74">
            <v>39</v>
          </cell>
        </row>
        <row r="75">
          <cell r="C75">
            <v>30</v>
          </cell>
          <cell r="D75">
            <v>41</v>
          </cell>
        </row>
        <row r="76">
          <cell r="C76">
            <v>29</v>
          </cell>
          <cell r="D76">
            <v>46</v>
          </cell>
        </row>
        <row r="77">
          <cell r="C77">
            <v>27</v>
          </cell>
          <cell r="D77">
            <v>40</v>
          </cell>
        </row>
        <row r="78">
          <cell r="C78">
            <v>31</v>
          </cell>
          <cell r="D78">
            <v>38</v>
          </cell>
        </row>
        <row r="79">
          <cell r="C79">
            <v>28</v>
          </cell>
          <cell r="D79">
            <v>37</v>
          </cell>
        </row>
        <row r="80">
          <cell r="C80">
            <v>30</v>
          </cell>
          <cell r="D80">
            <v>40</v>
          </cell>
        </row>
        <row r="81">
          <cell r="C81">
            <v>25</v>
          </cell>
          <cell r="D81">
            <v>35</v>
          </cell>
        </row>
        <row r="82">
          <cell r="C82">
            <v>32</v>
          </cell>
          <cell r="D82">
            <v>42</v>
          </cell>
        </row>
        <row r="83">
          <cell r="C83">
            <v>31</v>
          </cell>
          <cell r="D83">
            <v>45</v>
          </cell>
        </row>
        <row r="84">
          <cell r="C84">
            <v>33</v>
          </cell>
          <cell r="D84">
            <v>36</v>
          </cell>
        </row>
        <row r="85">
          <cell r="C85">
            <v>32</v>
          </cell>
          <cell r="D85">
            <v>39</v>
          </cell>
        </row>
        <row r="86">
          <cell r="C86">
            <v>30</v>
          </cell>
          <cell r="D86">
            <v>41</v>
          </cell>
        </row>
        <row r="87">
          <cell r="C87">
            <v>29</v>
          </cell>
          <cell r="D87">
            <v>46</v>
          </cell>
        </row>
        <row r="88">
          <cell r="C88">
            <v>27</v>
          </cell>
          <cell r="D88">
            <v>40</v>
          </cell>
        </row>
        <row r="89">
          <cell r="C89">
            <v>31</v>
          </cell>
          <cell r="D89">
            <v>38</v>
          </cell>
        </row>
        <row r="90">
          <cell r="C90">
            <v>28</v>
          </cell>
          <cell r="D90">
            <v>37</v>
          </cell>
        </row>
        <row r="91">
          <cell r="C91">
            <v>30</v>
          </cell>
          <cell r="D91">
            <v>40</v>
          </cell>
        </row>
        <row r="92">
          <cell r="C92">
            <v>25</v>
          </cell>
          <cell r="D92">
            <v>35</v>
          </cell>
        </row>
        <row r="93">
          <cell r="C93">
            <v>32</v>
          </cell>
          <cell r="D93">
            <v>42</v>
          </cell>
        </row>
        <row r="94">
          <cell r="C94">
            <v>31</v>
          </cell>
          <cell r="D94">
            <v>45</v>
          </cell>
        </row>
        <row r="95">
          <cell r="C95">
            <v>33</v>
          </cell>
          <cell r="D95">
            <v>36</v>
          </cell>
        </row>
        <row r="96">
          <cell r="C96">
            <v>32</v>
          </cell>
          <cell r="D96">
            <v>39</v>
          </cell>
        </row>
        <row r="97">
          <cell r="C97">
            <v>30</v>
          </cell>
          <cell r="D97">
            <v>41</v>
          </cell>
        </row>
        <row r="98">
          <cell r="C98">
            <v>29</v>
          </cell>
          <cell r="D98">
            <v>46</v>
          </cell>
        </row>
        <row r="99">
          <cell r="C99">
            <v>27</v>
          </cell>
          <cell r="D99">
            <v>40</v>
          </cell>
        </row>
        <row r="100">
          <cell r="C100">
            <v>31</v>
          </cell>
          <cell r="D100">
            <v>38</v>
          </cell>
        </row>
        <row r="101">
          <cell r="C101">
            <v>28</v>
          </cell>
          <cell r="D101">
            <v>37</v>
          </cell>
        </row>
        <row r="102">
          <cell r="C102">
            <v>30</v>
          </cell>
          <cell r="D102">
            <v>40</v>
          </cell>
        </row>
        <row r="103">
          <cell r="C103">
            <v>25</v>
          </cell>
          <cell r="D103">
            <v>35</v>
          </cell>
        </row>
        <row r="104">
          <cell r="C104">
            <v>32</v>
          </cell>
          <cell r="D104">
            <v>42</v>
          </cell>
        </row>
        <row r="105">
          <cell r="C105">
            <v>31</v>
          </cell>
          <cell r="D105">
            <v>45</v>
          </cell>
        </row>
        <row r="106">
          <cell r="C106">
            <v>33</v>
          </cell>
          <cell r="D106">
            <v>36</v>
          </cell>
        </row>
        <row r="107">
          <cell r="C107">
            <v>32</v>
          </cell>
          <cell r="D107">
            <v>39</v>
          </cell>
        </row>
        <row r="108">
          <cell r="C108">
            <v>30</v>
          </cell>
          <cell r="D108">
            <v>41</v>
          </cell>
        </row>
        <row r="109">
          <cell r="C109">
            <v>29</v>
          </cell>
          <cell r="D109">
            <v>46</v>
          </cell>
        </row>
        <row r="110">
          <cell r="C110">
            <v>27</v>
          </cell>
          <cell r="D110">
            <v>40</v>
          </cell>
        </row>
        <row r="111">
          <cell r="C111">
            <v>31</v>
          </cell>
          <cell r="D111">
            <v>38</v>
          </cell>
        </row>
        <row r="112">
          <cell r="C112">
            <v>28</v>
          </cell>
          <cell r="D112">
            <v>37</v>
          </cell>
        </row>
        <row r="113">
          <cell r="C113">
            <v>30</v>
          </cell>
          <cell r="D113">
            <v>40</v>
          </cell>
        </row>
        <row r="114">
          <cell r="C114">
            <v>25</v>
          </cell>
          <cell r="D114">
            <v>35</v>
          </cell>
        </row>
        <row r="115">
          <cell r="C115">
            <v>32</v>
          </cell>
          <cell r="D115">
            <v>42</v>
          </cell>
        </row>
        <row r="116">
          <cell r="C116">
            <v>31</v>
          </cell>
          <cell r="D116">
            <v>45</v>
          </cell>
        </row>
        <row r="117">
          <cell r="C117">
            <v>33</v>
          </cell>
          <cell r="D117">
            <v>36</v>
          </cell>
        </row>
        <row r="118">
          <cell r="C118">
            <v>32</v>
          </cell>
          <cell r="D118">
            <v>39</v>
          </cell>
        </row>
        <row r="119">
          <cell r="C119">
            <v>30</v>
          </cell>
          <cell r="D119">
            <v>41</v>
          </cell>
        </row>
        <row r="120">
          <cell r="C120">
            <v>29</v>
          </cell>
          <cell r="D120">
            <v>46</v>
          </cell>
        </row>
        <row r="121">
          <cell r="C121">
            <v>27</v>
          </cell>
          <cell r="D121">
            <v>40</v>
          </cell>
        </row>
        <row r="122">
          <cell r="C122">
            <v>0</v>
          </cell>
          <cell r="D122">
            <v>0</v>
          </cell>
        </row>
        <row r="123">
          <cell r="C123">
            <v>0</v>
          </cell>
          <cell r="D123">
            <v>0</v>
          </cell>
        </row>
        <row r="124">
          <cell r="C124">
            <v>0</v>
          </cell>
          <cell r="D124">
            <v>0</v>
          </cell>
        </row>
        <row r="125">
          <cell r="C125">
            <v>0</v>
          </cell>
          <cell r="D125">
            <v>0</v>
          </cell>
        </row>
        <row r="126">
          <cell r="C126">
            <v>0</v>
          </cell>
          <cell r="D126">
            <v>0</v>
          </cell>
        </row>
        <row r="127">
          <cell r="C127">
            <v>0</v>
          </cell>
          <cell r="D127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E67FB-581F-458A-9B35-8090A66192ED}">
  <sheetPr codeName="Sheet2"/>
  <dimension ref="A1:F18"/>
  <sheetViews>
    <sheetView showGridLines="0" tabSelected="1" workbookViewId="0">
      <selection activeCell="B2" sqref="B2:F2"/>
    </sheetView>
  </sheetViews>
  <sheetFormatPr defaultRowHeight="15" x14ac:dyDescent="0.25"/>
  <cols>
    <col min="1" max="1" width="4.28515625" style="45" customWidth="1"/>
    <col min="2" max="2" width="10.7109375" style="39" bestFit="1" customWidth="1"/>
    <col min="3" max="3" width="31.28515625" style="39" bestFit="1" customWidth="1"/>
    <col min="4" max="4" width="98.5703125" style="39" bestFit="1" customWidth="1"/>
    <col min="5" max="5" width="11.85546875" style="39" bestFit="1" customWidth="1"/>
    <col min="6" max="6" width="27.42578125" style="39" bestFit="1" customWidth="1"/>
    <col min="7" max="16384" width="9.140625" style="39"/>
  </cols>
  <sheetData>
    <row r="1" spans="2:6" ht="12" customHeight="1" thickBot="1" x14ac:dyDescent="0.55000000000000004">
      <c r="B1" s="43"/>
      <c r="C1" s="43"/>
      <c r="D1" s="43"/>
      <c r="E1" s="43"/>
      <c r="F1" s="43"/>
    </row>
    <row r="2" spans="2:6" ht="32.25" thickBot="1" x14ac:dyDescent="0.3">
      <c r="B2" s="40" t="s">
        <v>25</v>
      </c>
      <c r="C2" s="41"/>
      <c r="D2" s="41"/>
      <c r="E2" s="41"/>
      <c r="F2" s="42"/>
    </row>
    <row r="3" spans="2:6" ht="12" customHeight="1" x14ac:dyDescent="0.5">
      <c r="B3" s="44"/>
      <c r="C3" s="44"/>
      <c r="D3" s="44"/>
      <c r="E3" s="44"/>
      <c r="F3" s="44"/>
    </row>
    <row r="4" spans="2:6" ht="31.5" x14ac:dyDescent="0.25">
      <c r="B4" s="2" t="s">
        <v>4</v>
      </c>
      <c r="C4" s="2" t="s">
        <v>0</v>
      </c>
      <c r="D4" s="32" t="s">
        <v>3</v>
      </c>
      <c r="E4" s="2" t="s">
        <v>2</v>
      </c>
      <c r="F4" s="2" t="s">
        <v>1</v>
      </c>
    </row>
    <row r="5" spans="2:6" ht="31.5" x14ac:dyDescent="0.25">
      <c r="B5" s="2">
        <v>1</v>
      </c>
      <c r="C5" s="2" t="str">
        <f>'Subject Marks'!A3</f>
        <v>MMS18-20/008</v>
      </c>
      <c r="D5" s="1" t="str">
        <f>'Subject Marks'!B3</f>
        <v>/BANSODE NAMRATA SUHAS SANGEETA</v>
      </c>
      <c r="E5" s="33">
        <f>'Subject Marks'!BN3</f>
        <v>9.125</v>
      </c>
      <c r="F5" s="2" t="str">
        <f>'Subject Marks'!BO3</f>
        <v>A+</v>
      </c>
    </row>
    <row r="6" spans="2:6" ht="31.5" x14ac:dyDescent="0.25">
      <c r="B6" s="2">
        <v>2</v>
      </c>
      <c r="C6" s="2" t="str">
        <f>'Subject Marks'!A4</f>
        <v>MMS18-20/070</v>
      </c>
      <c r="D6" s="1" t="str">
        <f>'Subject Marks'!B4</f>
        <v>/JADHAV SHWETA NARESH LATA</v>
      </c>
      <c r="E6" s="33">
        <f>'Subject Marks'!BN4</f>
        <v>9</v>
      </c>
      <c r="F6" s="2" t="str">
        <f>'Subject Marks'!BO4</f>
        <v>A+</v>
      </c>
    </row>
    <row r="7" spans="2:6" ht="31.5" x14ac:dyDescent="0.25">
      <c r="B7" s="2">
        <v>3</v>
      </c>
      <c r="C7" s="2" t="str">
        <f>'Subject Marks'!A5</f>
        <v>MMS18-20/059</v>
      </c>
      <c r="D7" s="1" t="str">
        <f>'Subject Marks'!B5</f>
        <v>WANKHADE NIKHIL MADHUKAR JYOTI</v>
      </c>
      <c r="E7" s="33">
        <f>'Subject Marks'!BN5</f>
        <v>9</v>
      </c>
      <c r="F7" s="2" t="str">
        <f>'Subject Marks'!BO5</f>
        <v>A+</v>
      </c>
    </row>
    <row r="8" spans="2:6" ht="31.5" x14ac:dyDescent="0.25">
      <c r="B8" s="2">
        <v>4</v>
      </c>
      <c r="C8" s="2" t="str">
        <f>'Subject Marks'!A6</f>
        <v>MMS18-20/048</v>
      </c>
      <c r="D8" s="1" t="str">
        <f>'Subject Marks'!B6</f>
        <v>LATE VISHAL BALASAHEB PRAMILA</v>
      </c>
      <c r="E8" s="33">
        <f>'Subject Marks'!BN6</f>
        <v>9</v>
      </c>
      <c r="F8" s="2" t="str">
        <f>'Subject Marks'!BO6</f>
        <v>A+</v>
      </c>
    </row>
    <row r="9" spans="2:6" ht="31.5" x14ac:dyDescent="0.25">
      <c r="B9" s="2">
        <v>5</v>
      </c>
      <c r="C9" s="2" t="str">
        <f>'Subject Marks'!A7</f>
        <v>MMS18-20/015</v>
      </c>
      <c r="D9" s="1" t="str">
        <f>'Subject Marks'!B7</f>
        <v>/BIDVI ABOLI AJENDRA NEHA</v>
      </c>
      <c r="E9" s="33">
        <f>'Subject Marks'!BN7</f>
        <v>9</v>
      </c>
      <c r="F9" s="2" t="str">
        <f>'Subject Marks'!BO7</f>
        <v>A+</v>
      </c>
    </row>
    <row r="10" spans="2:6" ht="26.25" customHeight="1" x14ac:dyDescent="0.25">
      <c r="B10" s="2">
        <v>6</v>
      </c>
      <c r="C10" s="2" t="str">
        <f>'Subject Marks'!A8</f>
        <v>MMS18-20/026</v>
      </c>
      <c r="D10" s="1" t="str">
        <f>'Subject Marks'!B8</f>
        <v>/DYWARSHETTY NEELIMA VENUGOPAL INDUMATI</v>
      </c>
      <c r="E10" s="33">
        <f>'Subject Marks'!BN8</f>
        <v>9</v>
      </c>
      <c r="F10" s="2" t="str">
        <f>'Subject Marks'!BO8</f>
        <v>A+</v>
      </c>
    </row>
    <row r="11" spans="2:6" ht="26.25" customHeight="1" x14ac:dyDescent="0.25">
      <c r="B11" s="2">
        <v>7</v>
      </c>
      <c r="C11" s="2" t="str">
        <f>'Subject Marks'!A9</f>
        <v>MMS18-20/037</v>
      </c>
      <c r="D11" s="1" t="str">
        <f>'Subject Marks'!B9</f>
        <v>KADAM AKSHAY RAMESH REEMA</v>
      </c>
      <c r="E11" s="33">
        <f>'Subject Marks'!BN9</f>
        <v>9</v>
      </c>
      <c r="F11" s="2" t="str">
        <f>'Subject Marks'!BO9</f>
        <v>A+</v>
      </c>
    </row>
    <row r="12" spans="2:6" ht="26.25" customHeight="1" x14ac:dyDescent="0.25">
      <c r="B12" s="2">
        <v>8</v>
      </c>
      <c r="C12" s="2" t="str">
        <f>'Subject Marks'!A10</f>
        <v>MMS18-20/081</v>
      </c>
      <c r="D12" s="1" t="str">
        <f>'Subject Marks'!B10</f>
        <v>/PEDNEKAR MADHUGANDHA DILIP DEEPALI</v>
      </c>
      <c r="E12" s="33">
        <f>'Subject Marks'!BN10</f>
        <v>9</v>
      </c>
      <c r="F12" s="2" t="str">
        <f>'Subject Marks'!BO10</f>
        <v>A+</v>
      </c>
    </row>
    <row r="13" spans="2:6" ht="26.25" customHeight="1" x14ac:dyDescent="0.25">
      <c r="B13" s="2">
        <v>9</v>
      </c>
      <c r="C13" s="2" t="str">
        <f>'Subject Marks'!A11</f>
        <v>MMS18-20/092</v>
      </c>
      <c r="D13" s="1" t="str">
        <f>'Subject Marks'!B11</f>
        <v>SAWANT AVADHUT RAJAN SHRADDHA</v>
      </c>
      <c r="E13" s="33">
        <f>'Subject Marks'!BN11</f>
        <v>9</v>
      </c>
      <c r="F13" s="2" t="str">
        <f>'Subject Marks'!BO11</f>
        <v>A+</v>
      </c>
    </row>
    <row r="14" spans="2:6" ht="26.25" customHeight="1" x14ac:dyDescent="0.25">
      <c r="B14" s="2">
        <v>10</v>
      </c>
      <c r="C14" s="2" t="str">
        <f>'Subject Marks'!A12</f>
        <v>MMS18-20/103</v>
      </c>
      <c r="D14" s="1" t="str">
        <f>'Subject Marks'!B12</f>
        <v>SINGH PRATIK SANJAY MEENA</v>
      </c>
      <c r="E14" s="33">
        <f>'Subject Marks'!BN12</f>
        <v>9</v>
      </c>
      <c r="F14" s="2" t="str">
        <f>'Subject Marks'!BO12</f>
        <v>A+</v>
      </c>
    </row>
    <row r="15" spans="2:6" ht="26.25" customHeight="1" x14ac:dyDescent="0.25">
      <c r="B15" s="2">
        <v>11</v>
      </c>
      <c r="C15" s="2" t="str">
        <f>'Subject Marks'!A13</f>
        <v>MMS18-20/114</v>
      </c>
      <c r="D15" s="1" t="str">
        <f>'Subject Marks'!B13</f>
        <v>/VICHARE SAMRUDHI SANJAY VAIBHAVI</v>
      </c>
      <c r="E15" s="33">
        <f>'Subject Marks'!BN13</f>
        <v>9</v>
      </c>
      <c r="F15" s="2" t="str">
        <f>'Subject Marks'!BO13</f>
        <v>A+</v>
      </c>
    </row>
    <row r="16" spans="2:6" ht="26.25" customHeight="1" x14ac:dyDescent="0.25">
      <c r="B16" s="2">
        <v>12</v>
      </c>
      <c r="C16" s="2" t="str">
        <f>'Subject Marks'!A14</f>
        <v>MMS18-20/019</v>
      </c>
      <c r="D16" s="1" t="str">
        <f>'Subject Marks'!B14</f>
        <v>CHAVAN SURAJ SURESH SUREKHA</v>
      </c>
      <c r="E16" s="33">
        <f>'Subject Marks'!BN14</f>
        <v>9</v>
      </c>
      <c r="F16" s="2" t="str">
        <f>'Subject Marks'!BO14</f>
        <v>A+</v>
      </c>
    </row>
    <row r="17" spans="2:6" ht="26.25" customHeight="1" x14ac:dyDescent="0.25">
      <c r="B17" s="46"/>
      <c r="C17" s="46"/>
      <c r="D17" s="46"/>
      <c r="E17" s="46"/>
      <c r="F17" s="46"/>
    </row>
    <row r="18" spans="2:6" ht="26.25" customHeight="1" x14ac:dyDescent="0.25"/>
  </sheetData>
  <sheetProtection algorithmName="SHA-512" hashValue="2xIVBfDwhGlIndTUMPMCTS7XSmTY5EFcDbwSgbRsugE5EKnUzuDF4Od95Mm392yY16tYknA2niy722VDHhRCGg==" saltValue="bztalpPLBzWJGLdWtOhBWw==" spinCount="100000" sheet="1" objects="1" scenarios="1"/>
  <mergeCells count="6">
    <mergeCell ref="G1:XFD1048576"/>
    <mergeCell ref="B2:F2"/>
    <mergeCell ref="B1:F1"/>
    <mergeCell ref="B3:F3"/>
    <mergeCell ref="A1:A1048576"/>
    <mergeCell ref="B17:F104857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F4776-53E7-47EF-A695-626DDB511F13}">
  <sheetPr codeName="Sheet1"/>
  <dimension ref="A1:BS135"/>
  <sheetViews>
    <sheetView workbookViewId="0">
      <selection activeCell="A2" sqref="A2"/>
    </sheetView>
  </sheetViews>
  <sheetFormatPr defaultRowHeight="15" x14ac:dyDescent="0.25"/>
  <cols>
    <col min="1" max="1" width="14.140625" bestFit="1" customWidth="1"/>
    <col min="2" max="2" width="47.140625" bestFit="1" customWidth="1"/>
    <col min="3" max="3" width="8" bestFit="1" customWidth="1"/>
    <col min="4" max="4" width="8.28515625" bestFit="1" customWidth="1"/>
    <col min="5" max="5" width="5.42578125" bestFit="1" customWidth="1"/>
    <col min="6" max="8" width="6.42578125" bestFit="1" customWidth="1"/>
    <col min="9" max="9" width="8.140625" bestFit="1" customWidth="1"/>
    <col min="10" max="10" width="8" bestFit="1" customWidth="1"/>
    <col min="11" max="11" width="8.28515625" bestFit="1" customWidth="1"/>
    <col min="12" max="12" width="5.42578125" bestFit="1" customWidth="1"/>
    <col min="13" max="15" width="6.42578125" bestFit="1" customWidth="1"/>
    <col min="16" max="16" width="8.140625" bestFit="1" customWidth="1"/>
    <col min="17" max="17" width="8" bestFit="1" customWidth="1"/>
    <col min="18" max="18" width="8.28515625" bestFit="1" customWidth="1"/>
    <col min="19" max="19" width="5.42578125" bestFit="1" customWidth="1"/>
    <col min="20" max="22" width="6.42578125" bestFit="1" customWidth="1"/>
    <col min="23" max="23" width="8.140625" bestFit="1" customWidth="1"/>
    <col min="24" max="24" width="8" bestFit="1" customWidth="1"/>
    <col min="25" max="25" width="8.28515625" bestFit="1" customWidth="1"/>
    <col min="26" max="26" width="5.42578125" bestFit="1" customWidth="1"/>
    <col min="27" max="29" width="6.42578125" bestFit="1" customWidth="1"/>
    <col min="30" max="30" width="8.140625" bestFit="1" customWidth="1"/>
    <col min="31" max="31" width="8" bestFit="1" customWidth="1"/>
    <col min="32" max="32" width="8.28515625" bestFit="1" customWidth="1"/>
    <col min="33" max="33" width="5.42578125" bestFit="1" customWidth="1"/>
    <col min="34" max="36" width="6.42578125" bestFit="1" customWidth="1"/>
    <col min="37" max="37" width="8.140625" bestFit="1" customWidth="1"/>
    <col min="38" max="38" width="8" bestFit="1" customWidth="1"/>
    <col min="39" max="39" width="8.28515625" bestFit="1" customWidth="1"/>
    <col min="40" max="40" width="5.42578125" bestFit="1" customWidth="1"/>
    <col min="41" max="43" width="6.42578125" bestFit="1" customWidth="1"/>
    <col min="44" max="44" width="8.140625" bestFit="1" customWidth="1"/>
    <col min="45" max="45" width="8" bestFit="1" customWidth="1"/>
    <col min="46" max="46" width="8.28515625" bestFit="1" customWidth="1"/>
    <col min="47" max="47" width="5.42578125" bestFit="1" customWidth="1"/>
    <col min="48" max="50" width="6.42578125" bestFit="1" customWidth="1"/>
    <col min="51" max="51" width="8.140625" bestFit="1" customWidth="1"/>
    <col min="52" max="52" width="8" bestFit="1" customWidth="1"/>
    <col min="53" max="53" width="8.28515625" bestFit="1" customWidth="1"/>
    <col min="54" max="54" width="5.42578125" bestFit="1" customWidth="1"/>
    <col min="55" max="57" width="6.42578125" bestFit="1" customWidth="1"/>
    <col min="58" max="58" width="8.140625" bestFit="1" customWidth="1"/>
    <col min="59" max="59" width="8" bestFit="1" customWidth="1"/>
    <col min="60" max="60" width="8.28515625" bestFit="1" customWidth="1"/>
    <col min="61" max="61" width="5.42578125" bestFit="1" customWidth="1"/>
    <col min="62" max="62" width="8.42578125" bestFit="1" customWidth="1"/>
    <col min="63" max="63" width="8.140625" bestFit="1" customWidth="1"/>
    <col min="64" max="64" width="5.5703125" bestFit="1" customWidth="1"/>
    <col min="65" max="65" width="12.7109375" customWidth="1"/>
    <col min="66" max="66" width="5.140625" bestFit="1" customWidth="1"/>
    <col min="67" max="67" width="6.42578125" bestFit="1" customWidth="1"/>
    <col min="68" max="68" width="8.28515625" bestFit="1" customWidth="1"/>
    <col min="71" max="71" width="0" hidden="1" customWidth="1"/>
  </cols>
  <sheetData>
    <row r="1" spans="1:71" s="10" customFormat="1" ht="16.5" thickBot="1" x14ac:dyDescent="0.3">
      <c r="A1" s="47" t="s">
        <v>27</v>
      </c>
      <c r="B1" s="48"/>
      <c r="C1" s="3" t="s">
        <v>5</v>
      </c>
      <c r="D1" s="34" t="str">
        <f>'[1]Subjects List'!$C$4</f>
        <v>Perspective Management</v>
      </c>
      <c r="E1" s="34"/>
      <c r="F1" s="34"/>
      <c r="G1" s="34"/>
      <c r="H1" s="34"/>
      <c r="I1" s="35"/>
      <c r="J1" s="3" t="s">
        <v>5</v>
      </c>
      <c r="K1" s="37" t="str">
        <f>'[1]Subjects List'!$C$5</f>
        <v>Financial Accounting</v>
      </c>
      <c r="L1" s="37"/>
      <c r="M1" s="37"/>
      <c r="N1" s="37"/>
      <c r="O1" s="37"/>
      <c r="P1" s="38"/>
      <c r="Q1" s="4" t="s">
        <v>5</v>
      </c>
      <c r="R1" s="34" t="str">
        <f>'[1]Subjects List'!$C$6</f>
        <v>Business Statistics</v>
      </c>
      <c r="S1" s="34"/>
      <c r="T1" s="34"/>
      <c r="U1" s="34"/>
      <c r="V1" s="34"/>
      <c r="W1" s="35"/>
      <c r="X1" s="4" t="s">
        <v>5</v>
      </c>
      <c r="Y1" s="34" t="str">
        <f>'[1]Subjects List'!$C$7</f>
        <v>Operations Management</v>
      </c>
      <c r="Z1" s="34"/>
      <c r="AA1" s="34"/>
      <c r="AB1" s="34"/>
      <c r="AC1" s="34"/>
      <c r="AD1" s="35"/>
      <c r="AE1" s="4" t="s">
        <v>5</v>
      </c>
      <c r="AF1" s="34" t="str">
        <f>'[1]Subjects List'!$C$8</f>
        <v>Managerial Economics</v>
      </c>
      <c r="AG1" s="34"/>
      <c r="AH1" s="34"/>
      <c r="AI1" s="34"/>
      <c r="AJ1" s="34"/>
      <c r="AK1" s="35"/>
      <c r="AL1" s="4" t="s">
        <v>5</v>
      </c>
      <c r="AM1" s="34" t="str">
        <f>'[1]Subjects List'!$C$9</f>
        <v>Effective and Management Communication</v>
      </c>
      <c r="AN1" s="34"/>
      <c r="AO1" s="34"/>
      <c r="AP1" s="34"/>
      <c r="AQ1" s="34"/>
      <c r="AR1" s="35"/>
      <c r="AS1" s="4" t="s">
        <v>5</v>
      </c>
      <c r="AT1" s="34" t="str">
        <f>'[1]Subjects List'!$C$10</f>
        <v>Negotiation and Selling Skills</v>
      </c>
      <c r="AU1" s="34"/>
      <c r="AV1" s="34"/>
      <c r="AW1" s="34"/>
      <c r="AX1" s="34"/>
      <c r="AY1" s="35"/>
      <c r="AZ1" s="4" t="s">
        <v>5</v>
      </c>
      <c r="BA1" s="34" t="str">
        <f>'[1]Subjects List'!$C$11</f>
        <v>Organisational Behaviour</v>
      </c>
      <c r="BB1" s="34"/>
      <c r="BC1" s="34"/>
      <c r="BD1" s="34"/>
      <c r="BE1" s="34"/>
      <c r="BF1" s="35"/>
      <c r="BG1" s="36" t="s">
        <v>6</v>
      </c>
      <c r="BH1" s="34"/>
      <c r="BI1" s="34"/>
      <c r="BJ1" s="34"/>
      <c r="BK1" s="35"/>
      <c r="BL1" s="36" t="s">
        <v>7</v>
      </c>
      <c r="BM1" s="34"/>
      <c r="BN1" s="34"/>
      <c r="BO1" s="34"/>
      <c r="BP1" s="35"/>
      <c r="BS1" s="11" t="s">
        <v>4</v>
      </c>
    </row>
    <row r="2" spans="1:71" s="12" customFormat="1" ht="45.75" thickBot="1" x14ac:dyDescent="0.3">
      <c r="A2" s="5" t="s">
        <v>0</v>
      </c>
      <c r="B2" s="49" t="s">
        <v>26</v>
      </c>
      <c r="C2" s="6" t="s">
        <v>8</v>
      </c>
      <c r="D2" s="7" t="s">
        <v>9</v>
      </c>
      <c r="E2" s="7" t="s">
        <v>10</v>
      </c>
      <c r="F2" s="7" t="s">
        <v>11</v>
      </c>
      <c r="G2" s="7" t="s">
        <v>12</v>
      </c>
      <c r="H2" s="7" t="s">
        <v>13</v>
      </c>
      <c r="I2" s="8" t="s">
        <v>14</v>
      </c>
      <c r="J2" s="6" t="s">
        <v>8</v>
      </c>
      <c r="K2" s="7" t="s">
        <v>9</v>
      </c>
      <c r="L2" s="7" t="s">
        <v>10</v>
      </c>
      <c r="M2" s="7" t="s">
        <v>11</v>
      </c>
      <c r="N2" s="7" t="s">
        <v>12</v>
      </c>
      <c r="O2" s="7" t="s">
        <v>13</v>
      </c>
      <c r="P2" s="8" t="s">
        <v>14</v>
      </c>
      <c r="Q2" s="6" t="s">
        <v>8</v>
      </c>
      <c r="R2" s="7" t="s">
        <v>9</v>
      </c>
      <c r="S2" s="7" t="s">
        <v>10</v>
      </c>
      <c r="T2" s="7" t="s">
        <v>11</v>
      </c>
      <c r="U2" s="7" t="s">
        <v>12</v>
      </c>
      <c r="V2" s="7" t="s">
        <v>13</v>
      </c>
      <c r="W2" s="8" t="s">
        <v>14</v>
      </c>
      <c r="X2" s="6" t="s">
        <v>8</v>
      </c>
      <c r="Y2" s="7" t="s">
        <v>9</v>
      </c>
      <c r="Z2" s="7" t="s">
        <v>10</v>
      </c>
      <c r="AA2" s="7" t="s">
        <v>11</v>
      </c>
      <c r="AB2" s="7" t="s">
        <v>12</v>
      </c>
      <c r="AC2" s="7" t="s">
        <v>13</v>
      </c>
      <c r="AD2" s="8" t="s">
        <v>14</v>
      </c>
      <c r="AE2" s="6" t="s">
        <v>8</v>
      </c>
      <c r="AF2" s="7" t="s">
        <v>9</v>
      </c>
      <c r="AG2" s="7" t="s">
        <v>10</v>
      </c>
      <c r="AH2" s="7" t="s">
        <v>11</v>
      </c>
      <c r="AI2" s="7" t="s">
        <v>12</v>
      </c>
      <c r="AJ2" s="7" t="s">
        <v>13</v>
      </c>
      <c r="AK2" s="8" t="s">
        <v>14</v>
      </c>
      <c r="AL2" s="6" t="s">
        <v>8</v>
      </c>
      <c r="AM2" s="7" t="s">
        <v>9</v>
      </c>
      <c r="AN2" s="7" t="s">
        <v>10</v>
      </c>
      <c r="AO2" s="7" t="s">
        <v>11</v>
      </c>
      <c r="AP2" s="7" t="s">
        <v>12</v>
      </c>
      <c r="AQ2" s="7" t="s">
        <v>13</v>
      </c>
      <c r="AR2" s="8" t="s">
        <v>14</v>
      </c>
      <c r="AS2" s="6" t="s">
        <v>8</v>
      </c>
      <c r="AT2" s="7" t="s">
        <v>9</v>
      </c>
      <c r="AU2" s="7" t="s">
        <v>10</v>
      </c>
      <c r="AV2" s="7" t="s">
        <v>11</v>
      </c>
      <c r="AW2" s="7" t="s">
        <v>12</v>
      </c>
      <c r="AX2" s="7" t="s">
        <v>13</v>
      </c>
      <c r="AY2" s="8" t="s">
        <v>14</v>
      </c>
      <c r="AZ2" s="6" t="s">
        <v>8</v>
      </c>
      <c r="BA2" s="7" t="s">
        <v>9</v>
      </c>
      <c r="BB2" s="7" t="s">
        <v>10</v>
      </c>
      <c r="BC2" s="7" t="s">
        <v>11</v>
      </c>
      <c r="BD2" s="7" t="s">
        <v>12</v>
      </c>
      <c r="BE2" s="7" t="s">
        <v>13</v>
      </c>
      <c r="BF2" s="8" t="s">
        <v>14</v>
      </c>
      <c r="BG2" s="6" t="s">
        <v>15</v>
      </c>
      <c r="BH2" s="7" t="s">
        <v>16</v>
      </c>
      <c r="BI2" s="7" t="s">
        <v>17</v>
      </c>
      <c r="BJ2" s="9" t="s">
        <v>18</v>
      </c>
      <c r="BK2" s="8" t="s">
        <v>19</v>
      </c>
      <c r="BL2" s="6" t="s">
        <v>20</v>
      </c>
      <c r="BM2" s="7" t="s">
        <v>21</v>
      </c>
      <c r="BN2" s="7" t="s">
        <v>2</v>
      </c>
      <c r="BO2" s="7" t="s">
        <v>22</v>
      </c>
      <c r="BP2" s="8" t="s">
        <v>23</v>
      </c>
      <c r="BS2" s="13" t="s">
        <v>24</v>
      </c>
    </row>
    <row r="3" spans="1:71" x14ac:dyDescent="0.25">
      <c r="A3" s="14" t="str">
        <f>[2]Sheet1!$A9</f>
        <v>MMS18-20/008</v>
      </c>
      <c r="B3" s="15" t="str">
        <f>[2]Sheet1!$B9</f>
        <v>/BANSODE NAMRATA SUHAS SANGEETA</v>
      </c>
      <c r="C3" s="16">
        <f>'[3]1st Subject'!$C10</f>
        <v>35</v>
      </c>
      <c r="D3" s="16">
        <f>'[3]1st Subject'!$D10</f>
        <v>55</v>
      </c>
      <c r="E3" s="27">
        <f>D3+C3</f>
        <v>90</v>
      </c>
      <c r="F3" s="18" t="str">
        <f>IF(E3&lt;50,"F",IF(E3&lt;=54.99,"P",IF(E3&lt;=59.99,"C",IF(E3&lt;=64.99,"B",IF(E3&lt;=69.99,"B+",IF(E3&lt;=74.99,"A",IF(E3&lt;=79.99,"A+","O")))))))</f>
        <v>O</v>
      </c>
      <c r="G3" s="18" t="str">
        <f>IF(E3&lt;50,"0",IF(E3&lt;=54.99,"4",IF(E3&lt;=59.99,"5",IF(E3&lt;=64.99,"6",IF(E3&lt;=69.99,"7",IF(E3&lt;=74.99,"8",IF(E3&lt;=79.99,"9","10")))))))</f>
        <v>10</v>
      </c>
      <c r="H3" s="19">
        <v>4</v>
      </c>
      <c r="I3" s="20">
        <f>G3*H3</f>
        <v>40</v>
      </c>
      <c r="J3" s="16">
        <f>'[4]2nd Subject'!$C10</f>
        <v>29</v>
      </c>
      <c r="K3" s="16">
        <f>'[4]2nd Subject'!$D10</f>
        <v>46</v>
      </c>
      <c r="L3" s="17">
        <f>K3+J3</f>
        <v>75</v>
      </c>
      <c r="M3" s="18" t="str">
        <f>IF(L3&lt;50,"F",IF(L3&lt;=54.99,"P",IF(L3&lt;=59.99,"C",IF(L3&lt;=64.99,"B",IF(L3&lt;=69.99,"B+",IF(L3&lt;=74.99,"A",IF(L3&lt;=79.99,"A+","O")))))))</f>
        <v>A+</v>
      </c>
      <c r="N3" s="18" t="str">
        <f>IF(L3&lt;50,"0",IF(L3&lt;=54.99,"4",IF(L3&lt;=59.99,"5",IF(L3&lt;=64.99,"6",IF(L3&lt;=69.99,"7",IF(L3&lt;=74.99,"8",IF(L3&lt;=79.99,"9","10")))))))</f>
        <v>9</v>
      </c>
      <c r="O3" s="19">
        <v>4</v>
      </c>
      <c r="P3" s="20">
        <f>N3*O3</f>
        <v>36</v>
      </c>
      <c r="Q3" s="21">
        <f>'[5]3rd Subject'!$C10</f>
        <v>29</v>
      </c>
      <c r="R3" s="21">
        <f>'[5]3rd Subject'!$D10</f>
        <v>46</v>
      </c>
      <c r="S3" s="17">
        <f>R3+Q3</f>
        <v>75</v>
      </c>
      <c r="T3" s="18" t="str">
        <f>IF(S3&lt;50,"F",IF(S3&lt;=54.99,"P",IF(S3&lt;=59.99,"C",IF(S3&lt;=64.99,"B",IF(S3&lt;=69.99,"B+",IF(S3&lt;=74.99,"A",IF(S3&lt;=79.99,"A+","O")))))))</f>
        <v>A+</v>
      </c>
      <c r="U3" s="18" t="str">
        <f>IF(S3&lt;50,"0",IF(S3&lt;=54.99,"4",IF(S3&lt;=59.99,"5",IF(S3&lt;=64.99,"6",IF(S3&lt;=69.99,"7",IF(S3&lt;=74.99,"8",IF(S3&lt;=79.99,"9","10")))))))</f>
        <v>9</v>
      </c>
      <c r="V3" s="19">
        <v>4</v>
      </c>
      <c r="W3" s="20">
        <f>U3*V3</f>
        <v>36</v>
      </c>
      <c r="X3" s="22">
        <f>'[6]4th Subject'!$C10</f>
        <v>29</v>
      </c>
      <c r="Y3" s="23">
        <f>'[6]4th Subject'!$D10</f>
        <v>46</v>
      </c>
      <c r="Z3" s="17">
        <f>Y3+X3</f>
        <v>75</v>
      </c>
      <c r="AA3" s="18" t="str">
        <f>IF(Z3&lt;50,"F",IF(Z3&lt;=54.99,"P",IF(Z3&lt;=59.99,"C",IF(Z3&lt;=64.99,"B",IF(Z3&lt;=69.99,"B+",IF(Z3&lt;=74.99,"A",IF(Z3&lt;=79.99,"A+","O")))))))</f>
        <v>A+</v>
      </c>
      <c r="AB3" s="18" t="str">
        <f>IF(Z3&lt;50,"0",IF(Z3&lt;=54.99,"4",IF(Z3&lt;=59.99,"5",IF(Z3&lt;=64.99,"6",IF(Z3&lt;=69.99,"7",IF(Z3&lt;=74.99,"8",IF(Z3&lt;=79.99,"9","10")))))))</f>
        <v>9</v>
      </c>
      <c r="AC3" s="19">
        <v>4</v>
      </c>
      <c r="AD3" s="20">
        <f>AB3*AC3</f>
        <v>36</v>
      </c>
      <c r="AE3" s="22">
        <f>'[7]5th Subject'!$C10</f>
        <v>29</v>
      </c>
      <c r="AF3" s="23">
        <f>'[7]5th Subject'!$D10</f>
        <v>46</v>
      </c>
      <c r="AG3" s="17">
        <f>AF3+AE3</f>
        <v>75</v>
      </c>
      <c r="AH3" s="18" t="str">
        <f>IF(AG3&lt;50,"F",IF(AG3&lt;=54.99,"P",IF(AG3&lt;=59.99,"C",IF(AG3&lt;=64.99,"B",IF(AG3&lt;=69.99,"B+",IF(AG3&lt;=74.99,"A",IF(AG3&lt;=79.99,"A+","O")))))))</f>
        <v>A+</v>
      </c>
      <c r="AI3" s="18" t="str">
        <f>IF(AG3&lt;50,"0",IF(AG3&lt;=54.99,"4",IF(AG3&lt;=59.99,"5",IF(AG3&lt;=64.99,"6",IF(AG3&lt;=69.99,"7",IF(AG3&lt;=74.99,"8",IF(AG3&lt;=79.99,"9","10")))))))</f>
        <v>9</v>
      </c>
      <c r="AJ3" s="19">
        <v>4</v>
      </c>
      <c r="AK3" s="20">
        <f>AI3*AJ3</f>
        <v>36</v>
      </c>
      <c r="AL3" s="22">
        <f>'[8]6th Subject'!$C10</f>
        <v>29</v>
      </c>
      <c r="AM3" s="22">
        <f>'[8]6th Subject'!$D10</f>
        <v>46</v>
      </c>
      <c r="AN3" s="17">
        <f>AM3+AL3</f>
        <v>75</v>
      </c>
      <c r="AO3" s="18" t="str">
        <f>IF(AN3&lt;50,"F",IF(AN3&lt;=54.99,"P",IF(AN3&lt;=59.99,"C",IF(AN3&lt;=64.99,"B",IF(AN3&lt;=69.99,"B+",IF(AN3&lt;=74.99,"A",IF(AN3&lt;=79.99,"A+","O")))))))</f>
        <v>A+</v>
      </c>
      <c r="AP3" s="18" t="str">
        <f>IF(AN3&lt;50,"0",IF(AN3&lt;=54.99,"4",IF(AN3&lt;=59.99,"5",IF(AN3&lt;=64.99,"6",IF(AN3&lt;=69.99,"7",IF(AN3&lt;=74.99,"8",IF(AN3&lt;=79.99,"9","10")))))))</f>
        <v>9</v>
      </c>
      <c r="AQ3" s="19">
        <v>4</v>
      </c>
      <c r="AR3" s="20">
        <f>AP3*AQ3</f>
        <v>36</v>
      </c>
      <c r="AS3" s="16">
        <f>'[9]7th Subject'!$C10</f>
        <v>29</v>
      </c>
      <c r="AT3" s="16">
        <f>'[9]7th Subject'!$D10</f>
        <v>46</v>
      </c>
      <c r="AU3" s="17">
        <f>AT3+AS3</f>
        <v>75</v>
      </c>
      <c r="AV3" s="18" t="str">
        <f>IF(AU3&lt;50,"F",IF(AU3&lt;=54.99,"P",IF(AU3&lt;=59.99,"C",IF(AU3&lt;=64.99,"B",IF(AU3&lt;=69.99,"B+",IF(AU3&lt;=74.99,"A",IF(AU3&lt;=79.99,"A+","O")))))))</f>
        <v>A+</v>
      </c>
      <c r="AW3" s="18" t="str">
        <f>IF(AU3&lt;50,"0",IF(AU3&lt;=54.99,"4",IF(AU3&lt;=59.99,"5",IF(AU3&lt;=64.99,"6",IF(AU3&lt;=69.99,"7",IF(AU3&lt;=74.99,"8",IF(AU3&lt;=79.99,"9","10")))))))</f>
        <v>9</v>
      </c>
      <c r="AX3" s="19">
        <v>4</v>
      </c>
      <c r="AY3" s="20">
        <f>AW3*AX3</f>
        <v>36</v>
      </c>
      <c r="AZ3" s="22">
        <f>'[10]8th Subject'!$C10</f>
        <v>29</v>
      </c>
      <c r="BA3" s="22">
        <f>'[10]8th Subject'!$D10</f>
        <v>46</v>
      </c>
      <c r="BB3" s="17">
        <f>BA3+AZ3</f>
        <v>75</v>
      </c>
      <c r="BC3" s="18" t="str">
        <f>IF(BB3&lt;50,"F",IF(BB3&lt;=54.99,"P",IF(BB3&lt;=59.99,"C",IF(BB3&lt;=64.99,"B",IF(BB3&lt;=69.99,"B+",IF(BB3&lt;=74.99,"A",IF(BB3&lt;=79.99,"A+","O")))))))</f>
        <v>A+</v>
      </c>
      <c r="BD3" s="18" t="str">
        <f>IF(BB3&lt;50,"0",IF(BB3&lt;=54.99,"4",IF(BB3&lt;=59.99,"5",IF(BB3&lt;=64.99,"6",IF(BB3&lt;=69.99,"7",IF(BB3&lt;=74.99,"8",IF(BB3&lt;=79.99,"9","10")))))))</f>
        <v>9</v>
      </c>
      <c r="BE3" s="19">
        <v>4</v>
      </c>
      <c r="BF3" s="20">
        <f>BD3*BE3</f>
        <v>36</v>
      </c>
      <c r="BG3" s="17">
        <f>AZ3+AS3+AE3+X3+J3+C3+Q3+AL3</f>
        <v>238</v>
      </c>
      <c r="BH3" s="17">
        <f>BA3+AT3+AF3+Y3+K3+D3+R3+AM3</f>
        <v>377</v>
      </c>
      <c r="BI3" s="17">
        <f>BH3+BG3</f>
        <v>615</v>
      </c>
      <c r="BJ3" s="24">
        <f>G3+N3+U3+AB3+AI3+AP3+BD3+AW3</f>
        <v>73</v>
      </c>
      <c r="BK3" s="30">
        <f>I3+P3+W3+AD3+AK3+AY3+BF3+AR3</f>
        <v>292</v>
      </c>
      <c r="BL3" s="25">
        <f>(BN3-0.75)*10</f>
        <v>83.75</v>
      </c>
      <c r="BM3" s="17" t="str">
        <f>IF(OR(C3&lt;20,D3&lt;30,J3&lt;20,K3&lt;30,Q3&lt;20,R3&lt;30,X3&lt;20,Y3&lt;30,AE3&lt;20,AF3&lt;30,AL3&lt;20,AM3&lt;30,AS3&lt;20,AT3&lt;30,AZ3&lt;20,BA3&lt;30),"Unsuccessful","Successful")</f>
        <v>Successful</v>
      </c>
      <c r="BN3" s="26">
        <f>BK3/32</f>
        <v>9.125</v>
      </c>
      <c r="BO3" s="18" t="str">
        <f>IF(BN3&lt;=4,"F",IF(BN3&lt;=4.5,"P",IF(BN3&lt;=5.5,"C",IF(BN3&lt;=6.5,"B",IF(BN3&lt;=7.5,"B+",IF(BN3&lt;=8.5,"A",IF(BN3&lt;=9.5,"A+","O")))))))</f>
        <v>A+</v>
      </c>
      <c r="BP3" s="14" t="str">
        <f>IF(BN3&lt;=4,"50",IF(BN3&lt;=4.5,"50-54.99",IF(BN3&lt;=5.5,"55-59.99",IF(BN3&lt;=6.5,"60-64.99",IF(BN3&lt;=7.5,"65-69.99",IF(BN3&lt;=8.5,"70-74.99",IF(BN3&lt;=9.5,"75-79.99","10")))))))</f>
        <v>75-79.99</v>
      </c>
      <c r="BS3">
        <f>RANK(BN3,$BN$3:$BN$135)</f>
        <v>1</v>
      </c>
    </row>
    <row r="4" spans="1:71" x14ac:dyDescent="0.25">
      <c r="A4" s="14" t="str">
        <f>[2]Sheet1!$A71</f>
        <v>MMS18-20/070</v>
      </c>
      <c r="B4" s="15" t="str">
        <f>[2]Sheet1!$B71</f>
        <v>/JADHAV SHWETA NARESH LATA</v>
      </c>
      <c r="C4" s="16">
        <f>'[3]1st Subject'!$C72</f>
        <v>31</v>
      </c>
      <c r="D4" s="16">
        <f>'[3]1st Subject'!$D72</f>
        <v>45</v>
      </c>
      <c r="E4" s="27">
        <f>D4+C4</f>
        <v>76</v>
      </c>
      <c r="F4" s="18" t="str">
        <f>IF(E4&lt;50,"F",IF(E4&lt;=54.99,"P",IF(E4&lt;=59.99,"C",IF(E4&lt;=64.99,"B",IF(E4&lt;=69.99,"B+",IF(E4&lt;=74.99,"A",IF(E4&lt;=79.99,"A+","O")))))))</f>
        <v>A+</v>
      </c>
      <c r="G4" s="18" t="str">
        <f>IF(E4&lt;50,"0",IF(E4&lt;=54.99,"4",IF(E4&lt;=59.99,"5",IF(E4&lt;=64.99,"6",IF(E4&lt;=69.99,"7",IF(E4&lt;=74.99,"8",IF(E4&lt;=79.99,"9","10")))))))</f>
        <v>9</v>
      </c>
      <c r="H4" s="28">
        <v>4</v>
      </c>
      <c r="I4" s="29">
        <f>G4*H4</f>
        <v>36</v>
      </c>
      <c r="J4" s="16">
        <f>'[4]2nd Subject'!$C72</f>
        <v>31</v>
      </c>
      <c r="K4" s="16">
        <f>'[4]2nd Subject'!$D72</f>
        <v>45</v>
      </c>
      <c r="L4" s="27">
        <f>K4+J4</f>
        <v>76</v>
      </c>
      <c r="M4" s="18" t="str">
        <f>IF(L4&lt;50,"F",IF(L4&lt;=54.99,"P",IF(L4&lt;=59.99,"C",IF(L4&lt;=64.99,"B",IF(L4&lt;=69.99,"B+",IF(L4&lt;=74.99,"A",IF(L4&lt;=79.99,"A+","O")))))))</f>
        <v>A+</v>
      </c>
      <c r="N4" s="18" t="str">
        <f>IF(L4&lt;50,"0",IF(L4&lt;=54.99,"4",IF(L4&lt;=59.99,"5",IF(L4&lt;=64.99,"6",IF(L4&lt;=69.99,"7",IF(L4&lt;=74.99,"8",IF(L4&lt;=79.99,"9","10")))))))</f>
        <v>9</v>
      </c>
      <c r="O4" s="28">
        <v>4</v>
      </c>
      <c r="P4" s="29">
        <f>N4*O4</f>
        <v>36</v>
      </c>
      <c r="Q4" s="21">
        <f>'[5]3rd Subject'!$C72</f>
        <v>31</v>
      </c>
      <c r="R4" s="21">
        <f>'[5]3rd Subject'!$D72</f>
        <v>45</v>
      </c>
      <c r="S4" s="27">
        <f>R4+Q4</f>
        <v>76</v>
      </c>
      <c r="T4" s="18" t="str">
        <f>IF(S4&lt;50,"F",IF(S4&lt;=54.99,"P",IF(S4&lt;=59.99,"C",IF(S4&lt;=64.99,"B",IF(S4&lt;=69.99,"B+",IF(S4&lt;=74.99,"A",IF(S4&lt;=79.99,"A+","O")))))))</f>
        <v>A+</v>
      </c>
      <c r="U4" s="18" t="str">
        <f>IF(S4&lt;50,"0",IF(S4&lt;=54.99,"4",IF(S4&lt;=59.99,"5",IF(S4&lt;=64.99,"6",IF(S4&lt;=69.99,"7",IF(S4&lt;=74.99,"8",IF(S4&lt;=79.99,"9","10")))))))</f>
        <v>9</v>
      </c>
      <c r="V4" s="28">
        <v>4</v>
      </c>
      <c r="W4" s="29">
        <f>U4*V4</f>
        <v>36</v>
      </c>
      <c r="X4" s="22">
        <f>'[6]4th Subject'!$C72</f>
        <v>31</v>
      </c>
      <c r="Y4" s="23">
        <f>'[6]4th Subject'!$D72</f>
        <v>45</v>
      </c>
      <c r="Z4" s="27">
        <f>Y4+X4</f>
        <v>76</v>
      </c>
      <c r="AA4" s="18" t="str">
        <f>IF(Z4&lt;50,"F",IF(Z4&lt;=54.99,"P",IF(Z4&lt;=59.99,"C",IF(Z4&lt;=64.99,"B",IF(Z4&lt;=69.99,"B+",IF(Z4&lt;=74.99,"A",IF(Z4&lt;=79.99,"A+","O")))))))</f>
        <v>A+</v>
      </c>
      <c r="AB4" s="18" t="str">
        <f>IF(Z4&lt;50,"0",IF(Z4&lt;=54.99,"4",IF(Z4&lt;=59.99,"5",IF(Z4&lt;=64.99,"6",IF(Z4&lt;=69.99,"7",IF(Z4&lt;=74.99,"8",IF(Z4&lt;=79.99,"9","10")))))))</f>
        <v>9</v>
      </c>
      <c r="AC4" s="28">
        <v>4</v>
      </c>
      <c r="AD4" s="29">
        <f>AB4*AC4</f>
        <v>36</v>
      </c>
      <c r="AE4" s="22">
        <f>'[7]5th Subject'!$C72</f>
        <v>31</v>
      </c>
      <c r="AF4" s="23">
        <f>'[7]5th Subject'!$D72</f>
        <v>45</v>
      </c>
      <c r="AG4" s="27">
        <f>AF4+AE4</f>
        <v>76</v>
      </c>
      <c r="AH4" s="18" t="str">
        <f>IF(AG4&lt;50,"F",IF(AG4&lt;=54.99,"P",IF(AG4&lt;=59.99,"C",IF(AG4&lt;=64.99,"B",IF(AG4&lt;=69.99,"B+",IF(AG4&lt;=74.99,"A",IF(AG4&lt;=79.99,"A+","O")))))))</f>
        <v>A+</v>
      </c>
      <c r="AI4" s="18" t="str">
        <f>IF(AG4&lt;50,"0",IF(AG4&lt;=54.99,"4",IF(AG4&lt;=59.99,"5",IF(AG4&lt;=64.99,"6",IF(AG4&lt;=69.99,"7",IF(AG4&lt;=74.99,"8",IF(AG4&lt;=79.99,"9","10")))))))</f>
        <v>9</v>
      </c>
      <c r="AJ4" s="28">
        <v>4</v>
      </c>
      <c r="AK4" s="29">
        <f>AI4*AJ4</f>
        <v>36</v>
      </c>
      <c r="AL4" s="22">
        <f>'[8]6th Subject'!$C72</f>
        <v>31</v>
      </c>
      <c r="AM4" s="22">
        <f>'[8]6th Subject'!$D72</f>
        <v>45</v>
      </c>
      <c r="AN4" s="27">
        <f>AM4+AL4</f>
        <v>76</v>
      </c>
      <c r="AO4" s="18" t="str">
        <f>IF(AN4&lt;50,"F",IF(AN4&lt;=54.99,"P",IF(AN4&lt;=59.99,"C",IF(AN4&lt;=64.99,"B",IF(AN4&lt;=69.99,"B+",IF(AN4&lt;=74.99,"A",IF(AN4&lt;=79.99,"A+","O")))))))</f>
        <v>A+</v>
      </c>
      <c r="AP4" s="18" t="str">
        <f>IF(AN4&lt;50,"0",IF(AN4&lt;=54.99,"4",IF(AN4&lt;=59.99,"5",IF(AN4&lt;=64.99,"6",IF(AN4&lt;=69.99,"7",IF(AN4&lt;=74.99,"8",IF(AN4&lt;=79.99,"9","10")))))))</f>
        <v>9</v>
      </c>
      <c r="AQ4" s="28">
        <v>4</v>
      </c>
      <c r="AR4" s="29">
        <f>AP4*AQ4</f>
        <v>36</v>
      </c>
      <c r="AS4" s="16">
        <f>'[9]7th Subject'!$C72</f>
        <v>31</v>
      </c>
      <c r="AT4" s="16">
        <f>'[9]7th Subject'!$D72</f>
        <v>45</v>
      </c>
      <c r="AU4" s="27">
        <f>AT4+AS4</f>
        <v>76</v>
      </c>
      <c r="AV4" s="18" t="str">
        <f>IF(AU4&lt;50,"F",IF(AU4&lt;=54.99,"P",IF(AU4&lt;=59.99,"C",IF(AU4&lt;=64.99,"B",IF(AU4&lt;=69.99,"B+",IF(AU4&lt;=74.99,"A",IF(AU4&lt;=79.99,"A+","O")))))))</f>
        <v>A+</v>
      </c>
      <c r="AW4" s="18" t="str">
        <f>IF(AU4&lt;50,"0",IF(AU4&lt;=54.99,"4",IF(AU4&lt;=59.99,"5",IF(AU4&lt;=64.99,"6",IF(AU4&lt;=69.99,"7",IF(AU4&lt;=74.99,"8",IF(AU4&lt;=79.99,"9","10")))))))</f>
        <v>9</v>
      </c>
      <c r="AX4" s="28">
        <v>4</v>
      </c>
      <c r="AY4" s="29">
        <f>AW4*AX4</f>
        <v>36</v>
      </c>
      <c r="AZ4" s="22">
        <f>'[10]8th Subject'!$C72</f>
        <v>31</v>
      </c>
      <c r="BA4" s="22">
        <f>'[10]8th Subject'!$D72</f>
        <v>45</v>
      </c>
      <c r="BB4" s="27">
        <f>BA4+AZ4</f>
        <v>76</v>
      </c>
      <c r="BC4" s="18" t="str">
        <f>IF(BB4&lt;50,"F",IF(BB4&lt;=54.99,"P",IF(BB4&lt;=59.99,"C",IF(BB4&lt;=64.99,"B",IF(BB4&lt;=69.99,"B+",IF(BB4&lt;=74.99,"A",IF(BB4&lt;=79.99,"A+","O")))))))</f>
        <v>A+</v>
      </c>
      <c r="BD4" s="18" t="str">
        <f>IF(BB4&lt;50,"0",IF(BB4&lt;=54.99,"4",IF(BB4&lt;=59.99,"5",IF(BB4&lt;=64.99,"6",IF(BB4&lt;=69.99,"7",IF(BB4&lt;=74.99,"8",IF(BB4&lt;=79.99,"9","10")))))))</f>
        <v>9</v>
      </c>
      <c r="BE4" s="28">
        <v>4</v>
      </c>
      <c r="BF4" s="29">
        <f>BD4*BE4</f>
        <v>36</v>
      </c>
      <c r="BG4" s="27">
        <f>AZ4+AS4+AE4+X4+J4+C4+Q4+AL4</f>
        <v>248</v>
      </c>
      <c r="BH4" s="27">
        <f>BA4+AT4+AF4+Y4+K4+D4+R4+AM4</f>
        <v>360</v>
      </c>
      <c r="BI4" s="27">
        <f>BH4+BG4</f>
        <v>608</v>
      </c>
      <c r="BJ4" s="30">
        <f>G4+N4+U4+AB4+AI4+AP4+BD4+AW4</f>
        <v>72</v>
      </c>
      <c r="BK4" s="30">
        <f>I4+P4+W4+AD4+AK4+AY4+BF4+AR4</f>
        <v>288</v>
      </c>
      <c r="BL4" s="25">
        <f>(BN4-0.75)*10</f>
        <v>82.5</v>
      </c>
      <c r="BM4" s="17" t="str">
        <f>IF(OR(C4&lt;20,D4&lt;30,J4&lt;20,K4&lt;30,Q4&lt;20,R4&lt;30,X4&lt;20,Y4&lt;30,AE4&lt;20,AF4&lt;30,AL4&lt;20,AM4&lt;30,AS4&lt;20,AT4&lt;30,AZ4&lt;20,BA4&lt;30),"Unsuccessful","Successful")</f>
        <v>Successful</v>
      </c>
      <c r="BN4" s="31">
        <f>BK4/32</f>
        <v>9</v>
      </c>
      <c r="BO4" s="18" t="str">
        <f>IF(BN4&lt;=4,"F",IF(BN4&lt;=4.5,"P",IF(BN4&lt;=5.5,"C",IF(BN4&lt;=6.5,"B",IF(BN4&lt;=7.5,"B+",IF(BN4&lt;=8.5,"A",IF(BN4&lt;=9.5,"A+","O")))))))</f>
        <v>A+</v>
      </c>
      <c r="BP4" s="14" t="str">
        <f>IF(BN4&lt;=4,"50",IF(BN4&lt;=4.5,"50-54.99",IF(BN4&lt;=5.5,"55-59.99",IF(BN4&lt;=6.5,"60-64.99",IF(BN4&lt;=7.5,"65-69.99",IF(BN4&lt;=8.5,"70-74.99",IF(BN4&lt;=9.5,"75-79.99","10")))))))</f>
        <v>75-79.99</v>
      </c>
      <c r="BS4">
        <f>RANK(BN4,$BN$3:$BN$135)</f>
        <v>2</v>
      </c>
    </row>
    <row r="5" spans="1:71" x14ac:dyDescent="0.25">
      <c r="A5" s="14" t="str">
        <f>[2]Sheet1!$A60</f>
        <v>MMS18-20/059</v>
      </c>
      <c r="B5" s="15" t="str">
        <f>[2]Sheet1!$B60</f>
        <v>WANKHADE NIKHIL MADHUKAR JYOTI</v>
      </c>
      <c r="C5" s="16">
        <f>'[3]1st Subject'!$C61</f>
        <v>31</v>
      </c>
      <c r="D5" s="16">
        <f>'[3]1st Subject'!$D61</f>
        <v>45</v>
      </c>
      <c r="E5" s="27">
        <f>D5+C5</f>
        <v>76</v>
      </c>
      <c r="F5" s="18" t="str">
        <f>IF(E5&lt;50,"F",IF(E5&lt;=54.99,"P",IF(E5&lt;=59.99,"C",IF(E5&lt;=64.99,"B",IF(E5&lt;=69.99,"B+",IF(E5&lt;=74.99,"A",IF(E5&lt;=79.99,"A+","O")))))))</f>
        <v>A+</v>
      </c>
      <c r="G5" s="18" t="str">
        <f>IF(E5&lt;50,"0",IF(E5&lt;=54.99,"4",IF(E5&lt;=59.99,"5",IF(E5&lt;=64.99,"6",IF(E5&lt;=69.99,"7",IF(E5&lt;=74.99,"8",IF(E5&lt;=79.99,"9","10")))))))</f>
        <v>9</v>
      </c>
      <c r="H5" s="28">
        <v>4</v>
      </c>
      <c r="I5" s="29">
        <f>G5*H5</f>
        <v>36</v>
      </c>
      <c r="J5" s="16">
        <f>'[4]2nd Subject'!$C61</f>
        <v>31</v>
      </c>
      <c r="K5" s="16">
        <f>'[4]2nd Subject'!$D61</f>
        <v>45</v>
      </c>
      <c r="L5" s="27">
        <f>K5+J5</f>
        <v>76</v>
      </c>
      <c r="M5" s="18" t="str">
        <f>IF(L5&lt;50,"F",IF(L5&lt;=54.99,"P",IF(L5&lt;=59.99,"C",IF(L5&lt;=64.99,"B",IF(L5&lt;=69.99,"B+",IF(L5&lt;=74.99,"A",IF(L5&lt;=79.99,"A+","O")))))))</f>
        <v>A+</v>
      </c>
      <c r="N5" s="18" t="str">
        <f>IF(L5&lt;50,"0",IF(L5&lt;=54.99,"4",IF(L5&lt;=59.99,"5",IF(L5&lt;=64.99,"6",IF(L5&lt;=69.99,"7",IF(L5&lt;=74.99,"8",IF(L5&lt;=79.99,"9","10")))))))</f>
        <v>9</v>
      </c>
      <c r="O5" s="28">
        <v>4</v>
      </c>
      <c r="P5" s="29">
        <f>N5*O5</f>
        <v>36</v>
      </c>
      <c r="Q5" s="21">
        <f>'[5]3rd Subject'!$C61</f>
        <v>31</v>
      </c>
      <c r="R5" s="21">
        <f>'[5]3rd Subject'!$D61</f>
        <v>45</v>
      </c>
      <c r="S5" s="27">
        <f>R5+Q5</f>
        <v>76</v>
      </c>
      <c r="T5" s="18" t="str">
        <f>IF(S5&lt;50,"F",IF(S5&lt;=54.99,"P",IF(S5&lt;=59.99,"C",IF(S5&lt;=64.99,"B",IF(S5&lt;=69.99,"B+",IF(S5&lt;=74.99,"A",IF(S5&lt;=79.99,"A+","O")))))))</f>
        <v>A+</v>
      </c>
      <c r="U5" s="18" t="str">
        <f>IF(S5&lt;50,"0",IF(S5&lt;=54.99,"4",IF(S5&lt;=59.99,"5",IF(S5&lt;=64.99,"6",IF(S5&lt;=69.99,"7",IF(S5&lt;=74.99,"8",IF(S5&lt;=79.99,"9","10")))))))</f>
        <v>9</v>
      </c>
      <c r="V5" s="28">
        <v>4</v>
      </c>
      <c r="W5" s="29">
        <f>U5*V5</f>
        <v>36</v>
      </c>
      <c r="X5" s="22">
        <f>'[6]4th Subject'!$C61</f>
        <v>31</v>
      </c>
      <c r="Y5" s="23">
        <f>'[6]4th Subject'!$D61</f>
        <v>45</v>
      </c>
      <c r="Z5" s="27">
        <f>Y5+X5</f>
        <v>76</v>
      </c>
      <c r="AA5" s="18" t="str">
        <f>IF(Z5&lt;50,"F",IF(Z5&lt;=54.99,"P",IF(Z5&lt;=59.99,"C",IF(Z5&lt;=64.99,"B",IF(Z5&lt;=69.99,"B+",IF(Z5&lt;=74.99,"A",IF(Z5&lt;=79.99,"A+","O")))))))</f>
        <v>A+</v>
      </c>
      <c r="AB5" s="18" t="str">
        <f>IF(Z5&lt;50,"0",IF(Z5&lt;=54.99,"4",IF(Z5&lt;=59.99,"5",IF(Z5&lt;=64.99,"6",IF(Z5&lt;=69.99,"7",IF(Z5&lt;=74.99,"8",IF(Z5&lt;=79.99,"9","10")))))))</f>
        <v>9</v>
      </c>
      <c r="AC5" s="28">
        <v>4</v>
      </c>
      <c r="AD5" s="29">
        <f>AB5*AC5</f>
        <v>36</v>
      </c>
      <c r="AE5" s="22">
        <f>'[7]5th Subject'!$C61</f>
        <v>31</v>
      </c>
      <c r="AF5" s="23">
        <f>'[7]5th Subject'!$D61</f>
        <v>45</v>
      </c>
      <c r="AG5" s="27">
        <f>AF5+AE5</f>
        <v>76</v>
      </c>
      <c r="AH5" s="18" t="str">
        <f>IF(AG5&lt;50,"F",IF(AG5&lt;=54.99,"P",IF(AG5&lt;=59.99,"C",IF(AG5&lt;=64.99,"B",IF(AG5&lt;=69.99,"B+",IF(AG5&lt;=74.99,"A",IF(AG5&lt;=79.99,"A+","O")))))))</f>
        <v>A+</v>
      </c>
      <c r="AI5" s="18" t="str">
        <f>IF(AG5&lt;50,"0",IF(AG5&lt;=54.99,"4",IF(AG5&lt;=59.99,"5",IF(AG5&lt;=64.99,"6",IF(AG5&lt;=69.99,"7",IF(AG5&lt;=74.99,"8",IF(AG5&lt;=79.99,"9","10")))))))</f>
        <v>9</v>
      </c>
      <c r="AJ5" s="28">
        <v>4</v>
      </c>
      <c r="AK5" s="29">
        <f>AI5*AJ5</f>
        <v>36</v>
      </c>
      <c r="AL5" s="22">
        <f>'[8]6th Subject'!$C61</f>
        <v>31</v>
      </c>
      <c r="AM5" s="22">
        <f>'[8]6th Subject'!$D61</f>
        <v>45</v>
      </c>
      <c r="AN5" s="27">
        <f>AM5+AL5</f>
        <v>76</v>
      </c>
      <c r="AO5" s="18" t="str">
        <f>IF(AN5&lt;50,"F",IF(AN5&lt;=54.99,"P",IF(AN5&lt;=59.99,"C",IF(AN5&lt;=64.99,"B",IF(AN5&lt;=69.99,"B+",IF(AN5&lt;=74.99,"A",IF(AN5&lt;=79.99,"A+","O")))))))</f>
        <v>A+</v>
      </c>
      <c r="AP5" s="18" t="str">
        <f>IF(AN5&lt;50,"0",IF(AN5&lt;=54.99,"4",IF(AN5&lt;=59.99,"5",IF(AN5&lt;=64.99,"6",IF(AN5&lt;=69.99,"7",IF(AN5&lt;=74.99,"8",IF(AN5&lt;=79.99,"9","10")))))))</f>
        <v>9</v>
      </c>
      <c r="AQ5" s="28">
        <v>4</v>
      </c>
      <c r="AR5" s="29">
        <f>AP5*AQ5</f>
        <v>36</v>
      </c>
      <c r="AS5" s="16">
        <f>'[9]7th Subject'!$C61</f>
        <v>31</v>
      </c>
      <c r="AT5" s="16">
        <f>'[9]7th Subject'!$D61</f>
        <v>45</v>
      </c>
      <c r="AU5" s="27">
        <f>AT5+AS5</f>
        <v>76</v>
      </c>
      <c r="AV5" s="18" t="str">
        <f>IF(AU5&lt;50,"F",IF(AU5&lt;=54.99,"P",IF(AU5&lt;=59.99,"C",IF(AU5&lt;=64.99,"B",IF(AU5&lt;=69.99,"B+",IF(AU5&lt;=74.99,"A",IF(AU5&lt;=79.99,"A+","O")))))))</f>
        <v>A+</v>
      </c>
      <c r="AW5" s="18" t="str">
        <f>IF(AU5&lt;50,"0",IF(AU5&lt;=54.99,"4",IF(AU5&lt;=59.99,"5",IF(AU5&lt;=64.99,"6",IF(AU5&lt;=69.99,"7",IF(AU5&lt;=74.99,"8",IF(AU5&lt;=79.99,"9","10")))))))</f>
        <v>9</v>
      </c>
      <c r="AX5" s="28">
        <v>4</v>
      </c>
      <c r="AY5" s="29">
        <f>AW5*AX5</f>
        <v>36</v>
      </c>
      <c r="AZ5" s="22">
        <f>'[10]8th Subject'!$C61</f>
        <v>31</v>
      </c>
      <c r="BA5" s="22">
        <f>'[10]8th Subject'!$D61</f>
        <v>45</v>
      </c>
      <c r="BB5" s="27">
        <f>BA5+AZ5</f>
        <v>76</v>
      </c>
      <c r="BC5" s="18" t="str">
        <f>IF(BB5&lt;50,"F",IF(BB5&lt;=54.99,"P",IF(BB5&lt;=59.99,"C",IF(BB5&lt;=64.99,"B",IF(BB5&lt;=69.99,"B+",IF(BB5&lt;=74.99,"A",IF(BB5&lt;=79.99,"A+","O")))))))</f>
        <v>A+</v>
      </c>
      <c r="BD5" s="18" t="str">
        <f>IF(BB5&lt;50,"0",IF(BB5&lt;=54.99,"4",IF(BB5&lt;=59.99,"5",IF(BB5&lt;=64.99,"6",IF(BB5&lt;=69.99,"7",IF(BB5&lt;=74.99,"8",IF(BB5&lt;=79.99,"9","10")))))))</f>
        <v>9</v>
      </c>
      <c r="BE5" s="28">
        <v>4</v>
      </c>
      <c r="BF5" s="29">
        <f>BD5*BE5</f>
        <v>36</v>
      </c>
      <c r="BG5" s="27">
        <f>AZ5+AS5+AE5+X5+J5+C5+Q5+AL5</f>
        <v>248</v>
      </c>
      <c r="BH5" s="27">
        <f>BA5+AT5+AF5+Y5+K5+D5+R5+AM5</f>
        <v>360</v>
      </c>
      <c r="BI5" s="27">
        <f>BH5+BG5</f>
        <v>608</v>
      </c>
      <c r="BJ5" s="30">
        <f>G5+N5+U5+AB5+AI5+AP5+BD5+AW5</f>
        <v>72</v>
      </c>
      <c r="BK5" s="30">
        <f>I5+P5+W5+AD5+AK5+AY5+BF5+AR5</f>
        <v>288</v>
      </c>
      <c r="BL5" s="25">
        <f>(BN5-0.75)*10</f>
        <v>82.5</v>
      </c>
      <c r="BM5" s="17" t="str">
        <f>IF(OR(C5&lt;20,D5&lt;30,J5&lt;20,K5&lt;30,Q5&lt;20,R5&lt;30,X5&lt;20,Y5&lt;30,AE5&lt;20,AF5&lt;30,AL5&lt;20,AM5&lt;30,AS5&lt;20,AT5&lt;30,AZ5&lt;20,BA5&lt;30),"Unsuccessful","Successful")</f>
        <v>Successful</v>
      </c>
      <c r="BN5" s="31">
        <f>BK5/32</f>
        <v>9</v>
      </c>
      <c r="BO5" s="18" t="str">
        <f>IF(BN5&lt;=4,"F",IF(BN5&lt;=4.5,"P",IF(BN5&lt;=5.5,"C",IF(BN5&lt;=6.5,"B",IF(BN5&lt;=7.5,"B+",IF(BN5&lt;=8.5,"A",IF(BN5&lt;=9.5,"A+","O")))))))</f>
        <v>A+</v>
      </c>
      <c r="BP5" s="14" t="str">
        <f>IF(BN5&lt;=4,"50",IF(BN5&lt;=4.5,"50-54.99",IF(BN5&lt;=5.5,"55-59.99",IF(BN5&lt;=6.5,"60-64.99",IF(BN5&lt;=7.5,"65-69.99",IF(BN5&lt;=8.5,"70-74.99",IF(BN5&lt;=9.5,"75-79.99","10")))))))</f>
        <v>75-79.99</v>
      </c>
      <c r="BS5">
        <f>RANK(BN5,$BN$3:$BN$135)</f>
        <v>2</v>
      </c>
    </row>
    <row r="6" spans="1:71" x14ac:dyDescent="0.25">
      <c r="A6" s="14" t="str">
        <f>[2]Sheet1!$A49</f>
        <v>MMS18-20/048</v>
      </c>
      <c r="B6" s="15" t="str">
        <f>[2]Sheet1!$B49</f>
        <v>LATE VISHAL BALASAHEB PRAMILA</v>
      </c>
      <c r="C6" s="16">
        <f>'[3]1st Subject'!$C50</f>
        <v>31</v>
      </c>
      <c r="D6" s="16">
        <f>'[3]1st Subject'!$D50</f>
        <v>45</v>
      </c>
      <c r="E6" s="27">
        <f>D6+C6</f>
        <v>76</v>
      </c>
      <c r="F6" s="18" t="str">
        <f>IF(E6&lt;50,"F",IF(E6&lt;=54.99,"P",IF(E6&lt;=59.99,"C",IF(E6&lt;=64.99,"B",IF(E6&lt;=69.99,"B+",IF(E6&lt;=74.99,"A",IF(E6&lt;=79.99,"A+","O")))))))</f>
        <v>A+</v>
      </c>
      <c r="G6" s="18" t="str">
        <f>IF(E6&lt;50,"0",IF(E6&lt;=54.99,"4",IF(E6&lt;=59.99,"5",IF(E6&lt;=64.99,"6",IF(E6&lt;=69.99,"7",IF(E6&lt;=74.99,"8",IF(E6&lt;=79.99,"9","10")))))))</f>
        <v>9</v>
      </c>
      <c r="H6" s="28">
        <v>4</v>
      </c>
      <c r="I6" s="29">
        <f>G6*H6</f>
        <v>36</v>
      </c>
      <c r="J6" s="16">
        <f>'[4]2nd Subject'!$C50</f>
        <v>31</v>
      </c>
      <c r="K6" s="16">
        <f>'[4]2nd Subject'!$D50</f>
        <v>45</v>
      </c>
      <c r="L6" s="27">
        <f>K6+J6</f>
        <v>76</v>
      </c>
      <c r="M6" s="18" t="str">
        <f>IF(L6&lt;50,"F",IF(L6&lt;=54.99,"P",IF(L6&lt;=59.99,"C",IF(L6&lt;=64.99,"B",IF(L6&lt;=69.99,"B+",IF(L6&lt;=74.99,"A",IF(L6&lt;=79.99,"A+","O")))))))</f>
        <v>A+</v>
      </c>
      <c r="N6" s="18" t="str">
        <f>IF(L6&lt;50,"0",IF(L6&lt;=54.99,"4",IF(L6&lt;=59.99,"5",IF(L6&lt;=64.99,"6",IF(L6&lt;=69.99,"7",IF(L6&lt;=74.99,"8",IF(L6&lt;=79.99,"9","10")))))))</f>
        <v>9</v>
      </c>
      <c r="O6" s="28">
        <v>4</v>
      </c>
      <c r="P6" s="29">
        <f>N6*O6</f>
        <v>36</v>
      </c>
      <c r="Q6" s="21">
        <f>'[5]3rd Subject'!$C50</f>
        <v>31</v>
      </c>
      <c r="R6" s="21">
        <f>'[5]3rd Subject'!$D50</f>
        <v>45</v>
      </c>
      <c r="S6" s="27">
        <f>R6+Q6</f>
        <v>76</v>
      </c>
      <c r="T6" s="18" t="str">
        <f>IF(S6&lt;50,"F",IF(S6&lt;=54.99,"P",IF(S6&lt;=59.99,"C",IF(S6&lt;=64.99,"B",IF(S6&lt;=69.99,"B+",IF(S6&lt;=74.99,"A",IF(S6&lt;=79.99,"A+","O")))))))</f>
        <v>A+</v>
      </c>
      <c r="U6" s="18" t="str">
        <f>IF(S6&lt;50,"0",IF(S6&lt;=54.99,"4",IF(S6&lt;=59.99,"5",IF(S6&lt;=64.99,"6",IF(S6&lt;=69.99,"7",IF(S6&lt;=74.99,"8",IF(S6&lt;=79.99,"9","10")))))))</f>
        <v>9</v>
      </c>
      <c r="V6" s="28">
        <v>4</v>
      </c>
      <c r="W6" s="29">
        <f>U6*V6</f>
        <v>36</v>
      </c>
      <c r="X6" s="22">
        <f>'[6]4th Subject'!$C50</f>
        <v>31</v>
      </c>
      <c r="Y6" s="23">
        <f>'[6]4th Subject'!$D50</f>
        <v>45</v>
      </c>
      <c r="Z6" s="27">
        <f>Y6+X6</f>
        <v>76</v>
      </c>
      <c r="AA6" s="18" t="str">
        <f>IF(Z6&lt;50,"F",IF(Z6&lt;=54.99,"P",IF(Z6&lt;=59.99,"C",IF(Z6&lt;=64.99,"B",IF(Z6&lt;=69.99,"B+",IF(Z6&lt;=74.99,"A",IF(Z6&lt;=79.99,"A+","O")))))))</f>
        <v>A+</v>
      </c>
      <c r="AB6" s="18" t="str">
        <f>IF(Z6&lt;50,"0",IF(Z6&lt;=54.99,"4",IF(Z6&lt;=59.99,"5",IF(Z6&lt;=64.99,"6",IF(Z6&lt;=69.99,"7",IF(Z6&lt;=74.99,"8",IF(Z6&lt;=79.99,"9","10")))))))</f>
        <v>9</v>
      </c>
      <c r="AC6" s="28">
        <v>4</v>
      </c>
      <c r="AD6" s="29">
        <f>AB6*AC6</f>
        <v>36</v>
      </c>
      <c r="AE6" s="22">
        <f>'[7]5th Subject'!$C50</f>
        <v>31</v>
      </c>
      <c r="AF6" s="23">
        <f>'[7]5th Subject'!$D50</f>
        <v>45</v>
      </c>
      <c r="AG6" s="27">
        <f>AF6+AE6</f>
        <v>76</v>
      </c>
      <c r="AH6" s="18" t="str">
        <f>IF(AG6&lt;50,"F",IF(AG6&lt;=54.99,"P",IF(AG6&lt;=59.99,"C",IF(AG6&lt;=64.99,"B",IF(AG6&lt;=69.99,"B+",IF(AG6&lt;=74.99,"A",IF(AG6&lt;=79.99,"A+","O")))))))</f>
        <v>A+</v>
      </c>
      <c r="AI6" s="18" t="str">
        <f>IF(AG6&lt;50,"0",IF(AG6&lt;=54.99,"4",IF(AG6&lt;=59.99,"5",IF(AG6&lt;=64.99,"6",IF(AG6&lt;=69.99,"7",IF(AG6&lt;=74.99,"8",IF(AG6&lt;=79.99,"9","10")))))))</f>
        <v>9</v>
      </c>
      <c r="AJ6" s="28">
        <v>4</v>
      </c>
      <c r="AK6" s="29">
        <f>AI6*AJ6</f>
        <v>36</v>
      </c>
      <c r="AL6" s="22">
        <f>'[8]6th Subject'!$C50</f>
        <v>31</v>
      </c>
      <c r="AM6" s="22">
        <f>'[8]6th Subject'!$D50</f>
        <v>45</v>
      </c>
      <c r="AN6" s="27">
        <f>AM6+AL6</f>
        <v>76</v>
      </c>
      <c r="AO6" s="18" t="str">
        <f>IF(AN6&lt;50,"F",IF(AN6&lt;=54.99,"P",IF(AN6&lt;=59.99,"C",IF(AN6&lt;=64.99,"B",IF(AN6&lt;=69.99,"B+",IF(AN6&lt;=74.99,"A",IF(AN6&lt;=79.99,"A+","O")))))))</f>
        <v>A+</v>
      </c>
      <c r="AP6" s="18" t="str">
        <f>IF(AN6&lt;50,"0",IF(AN6&lt;=54.99,"4",IF(AN6&lt;=59.99,"5",IF(AN6&lt;=64.99,"6",IF(AN6&lt;=69.99,"7",IF(AN6&lt;=74.99,"8",IF(AN6&lt;=79.99,"9","10")))))))</f>
        <v>9</v>
      </c>
      <c r="AQ6" s="28">
        <v>4</v>
      </c>
      <c r="AR6" s="29">
        <f>AP6*AQ6</f>
        <v>36</v>
      </c>
      <c r="AS6" s="16">
        <f>'[9]7th Subject'!$C50</f>
        <v>31</v>
      </c>
      <c r="AT6" s="16">
        <f>'[9]7th Subject'!$D50</f>
        <v>45</v>
      </c>
      <c r="AU6" s="27">
        <f>AT6+AS6</f>
        <v>76</v>
      </c>
      <c r="AV6" s="18" t="str">
        <f>IF(AU6&lt;50,"F",IF(AU6&lt;=54.99,"P",IF(AU6&lt;=59.99,"C",IF(AU6&lt;=64.99,"B",IF(AU6&lt;=69.99,"B+",IF(AU6&lt;=74.99,"A",IF(AU6&lt;=79.99,"A+","O")))))))</f>
        <v>A+</v>
      </c>
      <c r="AW6" s="18" t="str">
        <f>IF(AU6&lt;50,"0",IF(AU6&lt;=54.99,"4",IF(AU6&lt;=59.99,"5",IF(AU6&lt;=64.99,"6",IF(AU6&lt;=69.99,"7",IF(AU6&lt;=74.99,"8",IF(AU6&lt;=79.99,"9","10")))))))</f>
        <v>9</v>
      </c>
      <c r="AX6" s="28">
        <v>4</v>
      </c>
      <c r="AY6" s="29">
        <f>AW6*AX6</f>
        <v>36</v>
      </c>
      <c r="AZ6" s="22">
        <f>'[10]8th Subject'!$C50</f>
        <v>31</v>
      </c>
      <c r="BA6" s="22">
        <f>'[10]8th Subject'!$D50</f>
        <v>45</v>
      </c>
      <c r="BB6" s="27">
        <f>BA6+AZ6</f>
        <v>76</v>
      </c>
      <c r="BC6" s="18" t="str">
        <f>IF(BB6&lt;50,"F",IF(BB6&lt;=54.99,"P",IF(BB6&lt;=59.99,"C",IF(BB6&lt;=64.99,"B",IF(BB6&lt;=69.99,"B+",IF(BB6&lt;=74.99,"A",IF(BB6&lt;=79.99,"A+","O")))))))</f>
        <v>A+</v>
      </c>
      <c r="BD6" s="18" t="str">
        <f>IF(BB6&lt;50,"0",IF(BB6&lt;=54.99,"4",IF(BB6&lt;=59.99,"5",IF(BB6&lt;=64.99,"6",IF(BB6&lt;=69.99,"7",IF(BB6&lt;=74.99,"8",IF(BB6&lt;=79.99,"9","10")))))))</f>
        <v>9</v>
      </c>
      <c r="BE6" s="28">
        <v>4</v>
      </c>
      <c r="BF6" s="29">
        <f>BD6*BE6</f>
        <v>36</v>
      </c>
      <c r="BG6" s="27">
        <f>AZ6+AS6+AE6+X6+J6+C6+Q6+AL6</f>
        <v>248</v>
      </c>
      <c r="BH6" s="27">
        <f>BA6+AT6+AF6+Y6+K6+D6+R6+AM6</f>
        <v>360</v>
      </c>
      <c r="BI6" s="27">
        <f>BH6+BG6</f>
        <v>608</v>
      </c>
      <c r="BJ6" s="30">
        <f>G6+N6+U6+AB6+AI6+AP6+BD6+AW6</f>
        <v>72</v>
      </c>
      <c r="BK6" s="30">
        <f>I6+P6+W6+AD6+AK6+AY6+BF6+AR6</f>
        <v>288</v>
      </c>
      <c r="BL6" s="25">
        <f>(BN6-0.75)*10</f>
        <v>82.5</v>
      </c>
      <c r="BM6" s="17" t="str">
        <f>IF(OR(C6&lt;20,D6&lt;30,J6&lt;20,K6&lt;30,Q6&lt;20,R6&lt;30,X6&lt;20,Y6&lt;30,AE6&lt;20,AF6&lt;30,AL6&lt;20,AM6&lt;30,AS6&lt;20,AT6&lt;30,AZ6&lt;20,BA6&lt;30),"Unsuccessful","Successful")</f>
        <v>Successful</v>
      </c>
      <c r="BN6" s="31">
        <f>BK6/32</f>
        <v>9</v>
      </c>
      <c r="BO6" s="18" t="str">
        <f>IF(BN6&lt;=4,"F",IF(BN6&lt;=4.5,"P",IF(BN6&lt;=5.5,"C",IF(BN6&lt;=6.5,"B",IF(BN6&lt;=7.5,"B+",IF(BN6&lt;=8.5,"A",IF(BN6&lt;=9.5,"A+","O")))))))</f>
        <v>A+</v>
      </c>
      <c r="BP6" s="14" t="str">
        <f>IF(BN6&lt;=4,"50",IF(BN6&lt;=4.5,"50-54.99",IF(BN6&lt;=5.5,"55-59.99",IF(BN6&lt;=6.5,"60-64.99",IF(BN6&lt;=7.5,"65-69.99",IF(BN6&lt;=8.5,"70-74.99",IF(BN6&lt;=9.5,"75-79.99","10")))))))</f>
        <v>75-79.99</v>
      </c>
      <c r="BS6">
        <f>RANK(BN6,$BN$3:$BN$135)</f>
        <v>2</v>
      </c>
    </row>
    <row r="7" spans="1:71" x14ac:dyDescent="0.25">
      <c r="A7" s="14" t="str">
        <f>[2]Sheet1!$A16</f>
        <v>MMS18-20/015</v>
      </c>
      <c r="B7" s="15" t="str">
        <f>[2]Sheet1!$B16</f>
        <v>/BIDVI ABOLI AJENDRA NEHA</v>
      </c>
      <c r="C7" s="16">
        <f>'[3]1st Subject'!$C17</f>
        <v>31</v>
      </c>
      <c r="D7" s="16">
        <f>'[3]1st Subject'!$D17</f>
        <v>45</v>
      </c>
      <c r="E7" s="27">
        <f>D7+C7</f>
        <v>76</v>
      </c>
      <c r="F7" s="18" t="str">
        <f>IF(E7&lt;50,"F",IF(E7&lt;=54.99,"P",IF(E7&lt;=59.99,"C",IF(E7&lt;=64.99,"B",IF(E7&lt;=69.99,"B+",IF(E7&lt;=74.99,"A",IF(E7&lt;=79.99,"A+","O")))))))</f>
        <v>A+</v>
      </c>
      <c r="G7" s="18" t="str">
        <f>IF(E7&lt;50,"0",IF(E7&lt;=54.99,"4",IF(E7&lt;=59.99,"5",IF(E7&lt;=64.99,"6",IF(E7&lt;=69.99,"7",IF(E7&lt;=74.99,"8",IF(E7&lt;=79.99,"9","10")))))))</f>
        <v>9</v>
      </c>
      <c r="H7" s="28">
        <v>4</v>
      </c>
      <c r="I7" s="29">
        <f>G7*H7</f>
        <v>36</v>
      </c>
      <c r="J7" s="16">
        <f>'[4]2nd Subject'!$C17</f>
        <v>31</v>
      </c>
      <c r="K7" s="16">
        <f>'[4]2nd Subject'!$D17</f>
        <v>45</v>
      </c>
      <c r="L7" s="27">
        <f>K7+J7</f>
        <v>76</v>
      </c>
      <c r="M7" s="18" t="str">
        <f>IF(L7&lt;50,"F",IF(L7&lt;=54.99,"P",IF(L7&lt;=59.99,"C",IF(L7&lt;=64.99,"B",IF(L7&lt;=69.99,"B+",IF(L7&lt;=74.99,"A",IF(L7&lt;=79.99,"A+","O")))))))</f>
        <v>A+</v>
      </c>
      <c r="N7" s="18" t="str">
        <f>IF(L7&lt;50,"0",IF(L7&lt;=54.99,"4",IF(L7&lt;=59.99,"5",IF(L7&lt;=64.99,"6",IF(L7&lt;=69.99,"7",IF(L7&lt;=74.99,"8",IF(L7&lt;=79.99,"9","10")))))))</f>
        <v>9</v>
      </c>
      <c r="O7" s="28">
        <v>4</v>
      </c>
      <c r="P7" s="29">
        <f>N7*O7</f>
        <v>36</v>
      </c>
      <c r="Q7" s="21">
        <f>'[5]3rd Subject'!$C17</f>
        <v>31</v>
      </c>
      <c r="R7" s="21">
        <f>'[5]3rd Subject'!$D17</f>
        <v>45</v>
      </c>
      <c r="S7" s="27">
        <f>R7+Q7</f>
        <v>76</v>
      </c>
      <c r="T7" s="18" t="str">
        <f>IF(S7&lt;50,"F",IF(S7&lt;=54.99,"P",IF(S7&lt;=59.99,"C",IF(S7&lt;=64.99,"B",IF(S7&lt;=69.99,"B+",IF(S7&lt;=74.99,"A",IF(S7&lt;=79.99,"A+","O")))))))</f>
        <v>A+</v>
      </c>
      <c r="U7" s="18" t="str">
        <f>IF(S7&lt;50,"0",IF(S7&lt;=54.99,"4",IF(S7&lt;=59.99,"5",IF(S7&lt;=64.99,"6",IF(S7&lt;=69.99,"7",IF(S7&lt;=74.99,"8",IF(S7&lt;=79.99,"9","10")))))))</f>
        <v>9</v>
      </c>
      <c r="V7" s="28">
        <v>4</v>
      </c>
      <c r="W7" s="29">
        <f>U7*V7</f>
        <v>36</v>
      </c>
      <c r="X7" s="22">
        <f>'[6]4th Subject'!$C17</f>
        <v>31</v>
      </c>
      <c r="Y7" s="23">
        <f>'[6]4th Subject'!$D17</f>
        <v>45</v>
      </c>
      <c r="Z7" s="27">
        <f>Y7+X7</f>
        <v>76</v>
      </c>
      <c r="AA7" s="18" t="str">
        <f>IF(Z7&lt;50,"F",IF(Z7&lt;=54.99,"P",IF(Z7&lt;=59.99,"C",IF(Z7&lt;=64.99,"B",IF(Z7&lt;=69.99,"B+",IF(Z7&lt;=74.99,"A",IF(Z7&lt;=79.99,"A+","O")))))))</f>
        <v>A+</v>
      </c>
      <c r="AB7" s="18" t="str">
        <f>IF(Z7&lt;50,"0",IF(Z7&lt;=54.99,"4",IF(Z7&lt;=59.99,"5",IF(Z7&lt;=64.99,"6",IF(Z7&lt;=69.99,"7",IF(Z7&lt;=74.99,"8",IF(Z7&lt;=79.99,"9","10")))))))</f>
        <v>9</v>
      </c>
      <c r="AC7" s="28">
        <v>4</v>
      </c>
      <c r="AD7" s="29">
        <f>AB7*AC7</f>
        <v>36</v>
      </c>
      <c r="AE7" s="22">
        <f>'[7]5th Subject'!$C17</f>
        <v>31</v>
      </c>
      <c r="AF7" s="23">
        <f>'[7]5th Subject'!$D17</f>
        <v>45</v>
      </c>
      <c r="AG7" s="27">
        <f>AF7+AE7</f>
        <v>76</v>
      </c>
      <c r="AH7" s="18" t="str">
        <f>IF(AG7&lt;50,"F",IF(AG7&lt;=54.99,"P",IF(AG7&lt;=59.99,"C",IF(AG7&lt;=64.99,"B",IF(AG7&lt;=69.99,"B+",IF(AG7&lt;=74.99,"A",IF(AG7&lt;=79.99,"A+","O")))))))</f>
        <v>A+</v>
      </c>
      <c r="AI7" s="18" t="str">
        <f>IF(AG7&lt;50,"0",IF(AG7&lt;=54.99,"4",IF(AG7&lt;=59.99,"5",IF(AG7&lt;=64.99,"6",IF(AG7&lt;=69.99,"7",IF(AG7&lt;=74.99,"8",IF(AG7&lt;=79.99,"9","10")))))))</f>
        <v>9</v>
      </c>
      <c r="AJ7" s="28">
        <v>4</v>
      </c>
      <c r="AK7" s="29">
        <f>AI7*AJ7</f>
        <v>36</v>
      </c>
      <c r="AL7" s="22">
        <f>'[8]6th Subject'!$C17</f>
        <v>31</v>
      </c>
      <c r="AM7" s="22">
        <f>'[8]6th Subject'!$D17</f>
        <v>45</v>
      </c>
      <c r="AN7" s="27">
        <f>AM7+AL7</f>
        <v>76</v>
      </c>
      <c r="AO7" s="18" t="str">
        <f>IF(AN7&lt;50,"F",IF(AN7&lt;=54.99,"P",IF(AN7&lt;=59.99,"C",IF(AN7&lt;=64.99,"B",IF(AN7&lt;=69.99,"B+",IF(AN7&lt;=74.99,"A",IF(AN7&lt;=79.99,"A+","O")))))))</f>
        <v>A+</v>
      </c>
      <c r="AP7" s="18" t="str">
        <f>IF(AN7&lt;50,"0",IF(AN7&lt;=54.99,"4",IF(AN7&lt;=59.99,"5",IF(AN7&lt;=64.99,"6",IF(AN7&lt;=69.99,"7",IF(AN7&lt;=74.99,"8",IF(AN7&lt;=79.99,"9","10")))))))</f>
        <v>9</v>
      </c>
      <c r="AQ7" s="28">
        <v>4</v>
      </c>
      <c r="AR7" s="29">
        <f>AP7*AQ7</f>
        <v>36</v>
      </c>
      <c r="AS7" s="16">
        <f>'[9]7th Subject'!$C17</f>
        <v>31</v>
      </c>
      <c r="AT7" s="16">
        <f>'[9]7th Subject'!$D17</f>
        <v>45</v>
      </c>
      <c r="AU7" s="27">
        <f>AT7+AS7</f>
        <v>76</v>
      </c>
      <c r="AV7" s="18" t="str">
        <f>IF(AU7&lt;50,"F",IF(AU7&lt;=54.99,"P",IF(AU7&lt;=59.99,"C",IF(AU7&lt;=64.99,"B",IF(AU7&lt;=69.99,"B+",IF(AU7&lt;=74.99,"A",IF(AU7&lt;=79.99,"A+","O")))))))</f>
        <v>A+</v>
      </c>
      <c r="AW7" s="18" t="str">
        <f>IF(AU7&lt;50,"0",IF(AU7&lt;=54.99,"4",IF(AU7&lt;=59.99,"5",IF(AU7&lt;=64.99,"6",IF(AU7&lt;=69.99,"7",IF(AU7&lt;=74.99,"8",IF(AU7&lt;=79.99,"9","10")))))))</f>
        <v>9</v>
      </c>
      <c r="AX7" s="28">
        <v>4</v>
      </c>
      <c r="AY7" s="29">
        <f>AW7*AX7</f>
        <v>36</v>
      </c>
      <c r="AZ7" s="22">
        <f>'[10]8th Subject'!$C17</f>
        <v>31</v>
      </c>
      <c r="BA7" s="22">
        <f>'[10]8th Subject'!$D17</f>
        <v>45</v>
      </c>
      <c r="BB7" s="27">
        <f>BA7+AZ7</f>
        <v>76</v>
      </c>
      <c r="BC7" s="18" t="str">
        <f>IF(BB7&lt;50,"F",IF(BB7&lt;=54.99,"P",IF(BB7&lt;=59.99,"C",IF(BB7&lt;=64.99,"B",IF(BB7&lt;=69.99,"B+",IF(BB7&lt;=74.99,"A",IF(BB7&lt;=79.99,"A+","O")))))))</f>
        <v>A+</v>
      </c>
      <c r="BD7" s="18" t="str">
        <f>IF(BB7&lt;50,"0",IF(BB7&lt;=54.99,"4",IF(BB7&lt;=59.99,"5",IF(BB7&lt;=64.99,"6",IF(BB7&lt;=69.99,"7",IF(BB7&lt;=74.99,"8",IF(BB7&lt;=79.99,"9","10")))))))</f>
        <v>9</v>
      </c>
      <c r="BE7" s="28">
        <v>4</v>
      </c>
      <c r="BF7" s="29">
        <f>BD7*BE7</f>
        <v>36</v>
      </c>
      <c r="BG7" s="27">
        <f>AZ7+AS7+AE7+X7+J7+C7+Q7+AL7</f>
        <v>248</v>
      </c>
      <c r="BH7" s="27">
        <f>BA7+AT7+AF7+Y7+K7+D7+R7+AM7</f>
        <v>360</v>
      </c>
      <c r="BI7" s="27">
        <f>BH7+BG7</f>
        <v>608</v>
      </c>
      <c r="BJ7" s="30">
        <f>G7+N7+U7+AB7+AI7+AP7+BD7+AW7</f>
        <v>72</v>
      </c>
      <c r="BK7" s="30">
        <f>I7+P7+W7+AD7+AK7+AY7+BF7+AR7</f>
        <v>288</v>
      </c>
      <c r="BL7" s="25">
        <f>(BN7-0.75)*10</f>
        <v>82.5</v>
      </c>
      <c r="BM7" s="17" t="str">
        <f>IF(OR(C7&lt;20,D7&lt;30,J7&lt;20,K7&lt;30,Q7&lt;20,R7&lt;30,X7&lt;20,Y7&lt;30,AE7&lt;20,AF7&lt;30,AL7&lt;20,AM7&lt;30,AS7&lt;20,AT7&lt;30,AZ7&lt;20,BA7&lt;30),"Unsuccessful","Successful")</f>
        <v>Successful</v>
      </c>
      <c r="BN7" s="31">
        <f>BK7/32</f>
        <v>9</v>
      </c>
      <c r="BO7" s="18" t="str">
        <f>IF(BN7&lt;=4,"F",IF(BN7&lt;=4.5,"P",IF(BN7&lt;=5.5,"C",IF(BN7&lt;=6.5,"B",IF(BN7&lt;=7.5,"B+",IF(BN7&lt;=8.5,"A",IF(BN7&lt;=9.5,"A+","O")))))))</f>
        <v>A+</v>
      </c>
      <c r="BP7" s="14" t="str">
        <f>IF(BN7&lt;=4,"50",IF(BN7&lt;=4.5,"50-54.99",IF(BN7&lt;=5.5,"55-59.99",IF(BN7&lt;=6.5,"60-64.99",IF(BN7&lt;=7.5,"65-69.99",IF(BN7&lt;=8.5,"70-74.99",IF(BN7&lt;=9.5,"75-79.99","10")))))))</f>
        <v>75-79.99</v>
      </c>
      <c r="BS7">
        <f>RANK(BN7,$BN$3:$BN$135)</f>
        <v>2</v>
      </c>
    </row>
    <row r="8" spans="1:71" x14ac:dyDescent="0.25">
      <c r="A8" s="14" t="str">
        <f>[2]Sheet1!$A27</f>
        <v>MMS18-20/026</v>
      </c>
      <c r="B8" s="15" t="str">
        <f>[2]Sheet1!$B27</f>
        <v>/DYWARSHETTY NEELIMA VENUGOPAL INDUMATI</v>
      </c>
      <c r="C8" s="16">
        <f>'[3]1st Subject'!$C28</f>
        <v>31</v>
      </c>
      <c r="D8" s="16">
        <f>'[3]1st Subject'!$D28</f>
        <v>45</v>
      </c>
      <c r="E8" s="27">
        <f>D8+C8</f>
        <v>76</v>
      </c>
      <c r="F8" s="18" t="str">
        <f>IF(E8&lt;50,"F",IF(E8&lt;=54.99,"P",IF(E8&lt;=59.99,"C",IF(E8&lt;=64.99,"B",IF(E8&lt;=69.99,"B+",IF(E8&lt;=74.99,"A",IF(E8&lt;=79.99,"A+","O")))))))</f>
        <v>A+</v>
      </c>
      <c r="G8" s="18" t="str">
        <f>IF(E8&lt;50,"0",IF(E8&lt;=54.99,"4",IF(E8&lt;=59.99,"5",IF(E8&lt;=64.99,"6",IF(E8&lt;=69.99,"7",IF(E8&lt;=74.99,"8",IF(E8&lt;=79.99,"9","10")))))))</f>
        <v>9</v>
      </c>
      <c r="H8" s="28">
        <v>4</v>
      </c>
      <c r="I8" s="29">
        <f>G8*H8</f>
        <v>36</v>
      </c>
      <c r="J8" s="16">
        <f>'[4]2nd Subject'!$C28</f>
        <v>31</v>
      </c>
      <c r="K8" s="16">
        <f>'[4]2nd Subject'!$D28</f>
        <v>45</v>
      </c>
      <c r="L8" s="27">
        <f>K8+J8</f>
        <v>76</v>
      </c>
      <c r="M8" s="18" t="str">
        <f>IF(L8&lt;50,"F",IF(L8&lt;=54.99,"P",IF(L8&lt;=59.99,"C",IF(L8&lt;=64.99,"B",IF(L8&lt;=69.99,"B+",IF(L8&lt;=74.99,"A",IF(L8&lt;=79.99,"A+","O")))))))</f>
        <v>A+</v>
      </c>
      <c r="N8" s="18" t="str">
        <f>IF(L8&lt;50,"0",IF(L8&lt;=54.99,"4",IF(L8&lt;=59.99,"5",IF(L8&lt;=64.99,"6",IF(L8&lt;=69.99,"7",IF(L8&lt;=74.99,"8",IF(L8&lt;=79.99,"9","10")))))))</f>
        <v>9</v>
      </c>
      <c r="O8" s="28">
        <v>4</v>
      </c>
      <c r="P8" s="29">
        <f>N8*O8</f>
        <v>36</v>
      </c>
      <c r="Q8" s="21">
        <f>'[5]3rd Subject'!$C28</f>
        <v>31</v>
      </c>
      <c r="R8" s="21">
        <f>'[5]3rd Subject'!$D28</f>
        <v>45</v>
      </c>
      <c r="S8" s="27">
        <f>R8+Q8</f>
        <v>76</v>
      </c>
      <c r="T8" s="18" t="str">
        <f>IF(S8&lt;50,"F",IF(S8&lt;=54.99,"P",IF(S8&lt;=59.99,"C",IF(S8&lt;=64.99,"B",IF(S8&lt;=69.99,"B+",IF(S8&lt;=74.99,"A",IF(S8&lt;=79.99,"A+","O")))))))</f>
        <v>A+</v>
      </c>
      <c r="U8" s="18" t="str">
        <f>IF(S8&lt;50,"0",IF(S8&lt;=54.99,"4",IF(S8&lt;=59.99,"5",IF(S8&lt;=64.99,"6",IF(S8&lt;=69.99,"7",IF(S8&lt;=74.99,"8",IF(S8&lt;=79.99,"9","10")))))))</f>
        <v>9</v>
      </c>
      <c r="V8" s="28">
        <v>4</v>
      </c>
      <c r="W8" s="29">
        <f>U8*V8</f>
        <v>36</v>
      </c>
      <c r="X8" s="22">
        <f>'[6]4th Subject'!$C28</f>
        <v>31</v>
      </c>
      <c r="Y8" s="23">
        <f>'[6]4th Subject'!$D28</f>
        <v>45</v>
      </c>
      <c r="Z8" s="27">
        <f>Y8+X8</f>
        <v>76</v>
      </c>
      <c r="AA8" s="18" t="str">
        <f>IF(Z8&lt;50,"F",IF(Z8&lt;=54.99,"P",IF(Z8&lt;=59.99,"C",IF(Z8&lt;=64.99,"B",IF(Z8&lt;=69.99,"B+",IF(Z8&lt;=74.99,"A",IF(Z8&lt;=79.99,"A+","O")))))))</f>
        <v>A+</v>
      </c>
      <c r="AB8" s="18" t="str">
        <f>IF(Z8&lt;50,"0",IF(Z8&lt;=54.99,"4",IF(Z8&lt;=59.99,"5",IF(Z8&lt;=64.99,"6",IF(Z8&lt;=69.99,"7",IF(Z8&lt;=74.99,"8",IF(Z8&lt;=79.99,"9","10")))))))</f>
        <v>9</v>
      </c>
      <c r="AC8" s="28">
        <v>4</v>
      </c>
      <c r="AD8" s="29">
        <f>AB8*AC8</f>
        <v>36</v>
      </c>
      <c r="AE8" s="22">
        <f>'[7]5th Subject'!$C28</f>
        <v>31</v>
      </c>
      <c r="AF8" s="23">
        <f>'[7]5th Subject'!$D28</f>
        <v>45</v>
      </c>
      <c r="AG8" s="27">
        <f>AF8+AE8</f>
        <v>76</v>
      </c>
      <c r="AH8" s="18" t="str">
        <f>IF(AG8&lt;50,"F",IF(AG8&lt;=54.99,"P",IF(AG8&lt;=59.99,"C",IF(AG8&lt;=64.99,"B",IF(AG8&lt;=69.99,"B+",IF(AG8&lt;=74.99,"A",IF(AG8&lt;=79.99,"A+","O")))))))</f>
        <v>A+</v>
      </c>
      <c r="AI8" s="18" t="str">
        <f>IF(AG8&lt;50,"0",IF(AG8&lt;=54.99,"4",IF(AG8&lt;=59.99,"5",IF(AG8&lt;=64.99,"6",IF(AG8&lt;=69.99,"7",IF(AG8&lt;=74.99,"8",IF(AG8&lt;=79.99,"9","10")))))))</f>
        <v>9</v>
      </c>
      <c r="AJ8" s="28">
        <v>4</v>
      </c>
      <c r="AK8" s="29">
        <f>AI8*AJ8</f>
        <v>36</v>
      </c>
      <c r="AL8" s="22">
        <f>'[8]6th Subject'!$C28</f>
        <v>31</v>
      </c>
      <c r="AM8" s="22">
        <f>'[8]6th Subject'!$D28</f>
        <v>45</v>
      </c>
      <c r="AN8" s="27">
        <f>AM8+AL8</f>
        <v>76</v>
      </c>
      <c r="AO8" s="18" t="str">
        <f>IF(AN8&lt;50,"F",IF(AN8&lt;=54.99,"P",IF(AN8&lt;=59.99,"C",IF(AN8&lt;=64.99,"B",IF(AN8&lt;=69.99,"B+",IF(AN8&lt;=74.99,"A",IF(AN8&lt;=79.99,"A+","O")))))))</f>
        <v>A+</v>
      </c>
      <c r="AP8" s="18" t="str">
        <f>IF(AN8&lt;50,"0",IF(AN8&lt;=54.99,"4",IF(AN8&lt;=59.99,"5",IF(AN8&lt;=64.99,"6",IF(AN8&lt;=69.99,"7",IF(AN8&lt;=74.99,"8",IF(AN8&lt;=79.99,"9","10")))))))</f>
        <v>9</v>
      </c>
      <c r="AQ8" s="28">
        <v>4</v>
      </c>
      <c r="AR8" s="29">
        <f>AP8*AQ8</f>
        <v>36</v>
      </c>
      <c r="AS8" s="16">
        <f>'[9]7th Subject'!$C28</f>
        <v>31</v>
      </c>
      <c r="AT8" s="16">
        <f>'[9]7th Subject'!$D28</f>
        <v>45</v>
      </c>
      <c r="AU8" s="27">
        <f>AT8+AS8</f>
        <v>76</v>
      </c>
      <c r="AV8" s="18" t="str">
        <f>IF(AU8&lt;50,"F",IF(AU8&lt;=54.99,"P",IF(AU8&lt;=59.99,"C",IF(AU8&lt;=64.99,"B",IF(AU8&lt;=69.99,"B+",IF(AU8&lt;=74.99,"A",IF(AU8&lt;=79.99,"A+","O")))))))</f>
        <v>A+</v>
      </c>
      <c r="AW8" s="18" t="str">
        <f>IF(AU8&lt;50,"0",IF(AU8&lt;=54.99,"4",IF(AU8&lt;=59.99,"5",IF(AU8&lt;=64.99,"6",IF(AU8&lt;=69.99,"7",IF(AU8&lt;=74.99,"8",IF(AU8&lt;=79.99,"9","10")))))))</f>
        <v>9</v>
      </c>
      <c r="AX8" s="28">
        <v>4</v>
      </c>
      <c r="AY8" s="29">
        <f>AW8*AX8</f>
        <v>36</v>
      </c>
      <c r="AZ8" s="22">
        <f>'[10]8th Subject'!$C28</f>
        <v>31</v>
      </c>
      <c r="BA8" s="22">
        <f>'[10]8th Subject'!$D28</f>
        <v>45</v>
      </c>
      <c r="BB8" s="27">
        <f>BA8+AZ8</f>
        <v>76</v>
      </c>
      <c r="BC8" s="18" t="str">
        <f>IF(BB8&lt;50,"F",IF(BB8&lt;=54.99,"P",IF(BB8&lt;=59.99,"C",IF(BB8&lt;=64.99,"B",IF(BB8&lt;=69.99,"B+",IF(BB8&lt;=74.99,"A",IF(BB8&lt;=79.99,"A+","O")))))))</f>
        <v>A+</v>
      </c>
      <c r="BD8" s="18" t="str">
        <f>IF(BB8&lt;50,"0",IF(BB8&lt;=54.99,"4",IF(BB8&lt;=59.99,"5",IF(BB8&lt;=64.99,"6",IF(BB8&lt;=69.99,"7",IF(BB8&lt;=74.99,"8",IF(BB8&lt;=79.99,"9","10")))))))</f>
        <v>9</v>
      </c>
      <c r="BE8" s="28">
        <v>4</v>
      </c>
      <c r="BF8" s="29">
        <f>BD8*BE8</f>
        <v>36</v>
      </c>
      <c r="BG8" s="27">
        <f>AZ8+AS8+AE8+X8+J8+C8+Q8+AL8</f>
        <v>248</v>
      </c>
      <c r="BH8" s="27">
        <f>BA8+AT8+AF8+Y8+K8+D8+R8+AM8</f>
        <v>360</v>
      </c>
      <c r="BI8" s="27">
        <f>BH8+BG8</f>
        <v>608</v>
      </c>
      <c r="BJ8" s="30">
        <f>G8+N8+U8+AB8+AI8+AP8+BD8+AW8</f>
        <v>72</v>
      </c>
      <c r="BK8" s="30">
        <f>I8+P8+W8+AD8+AK8+AY8+BF8+AR8</f>
        <v>288</v>
      </c>
      <c r="BL8" s="25">
        <f>(BN8-0.75)*10</f>
        <v>82.5</v>
      </c>
      <c r="BM8" s="17" t="str">
        <f>IF(OR(C8&lt;20,D8&lt;30,J8&lt;20,K8&lt;30,Q8&lt;20,R8&lt;30,X8&lt;20,Y8&lt;30,AE8&lt;20,AF8&lt;30,AL8&lt;20,AM8&lt;30,AS8&lt;20,AT8&lt;30,AZ8&lt;20,BA8&lt;30),"Unsuccessful","Successful")</f>
        <v>Successful</v>
      </c>
      <c r="BN8" s="31">
        <f>BK8/32</f>
        <v>9</v>
      </c>
      <c r="BO8" s="18" t="str">
        <f>IF(BN8&lt;=4,"F",IF(BN8&lt;=4.5,"P",IF(BN8&lt;=5.5,"C",IF(BN8&lt;=6.5,"B",IF(BN8&lt;=7.5,"B+",IF(BN8&lt;=8.5,"A",IF(BN8&lt;=9.5,"A+","O")))))))</f>
        <v>A+</v>
      </c>
      <c r="BP8" s="14" t="str">
        <f>IF(BN8&lt;=4,"50",IF(BN8&lt;=4.5,"50-54.99",IF(BN8&lt;=5.5,"55-59.99",IF(BN8&lt;=6.5,"60-64.99",IF(BN8&lt;=7.5,"65-69.99",IF(BN8&lt;=8.5,"70-74.99",IF(BN8&lt;=9.5,"75-79.99","10")))))))</f>
        <v>75-79.99</v>
      </c>
      <c r="BS8">
        <f>RANK(BN8,$BN$3:$BN$135)</f>
        <v>2</v>
      </c>
    </row>
    <row r="9" spans="1:71" x14ac:dyDescent="0.25">
      <c r="A9" s="14" t="str">
        <f>[2]Sheet1!$A38</f>
        <v>MMS18-20/037</v>
      </c>
      <c r="B9" s="15" t="str">
        <f>[2]Sheet1!$B38</f>
        <v>KADAM AKSHAY RAMESH REEMA</v>
      </c>
      <c r="C9" s="16">
        <f>'[3]1st Subject'!$C39</f>
        <v>31</v>
      </c>
      <c r="D9" s="16">
        <f>'[3]1st Subject'!$D39</f>
        <v>45</v>
      </c>
      <c r="E9" s="27">
        <f>D9+C9</f>
        <v>76</v>
      </c>
      <c r="F9" s="18" t="str">
        <f>IF(E9&lt;50,"F",IF(E9&lt;=54.99,"P",IF(E9&lt;=59.99,"C",IF(E9&lt;=64.99,"B",IF(E9&lt;=69.99,"B+",IF(E9&lt;=74.99,"A",IF(E9&lt;=79.99,"A+","O")))))))</f>
        <v>A+</v>
      </c>
      <c r="G9" s="18" t="str">
        <f>IF(E9&lt;50,"0",IF(E9&lt;=54.99,"4",IF(E9&lt;=59.99,"5",IF(E9&lt;=64.99,"6",IF(E9&lt;=69.99,"7",IF(E9&lt;=74.99,"8",IF(E9&lt;=79.99,"9","10")))))))</f>
        <v>9</v>
      </c>
      <c r="H9" s="28">
        <v>4</v>
      </c>
      <c r="I9" s="29">
        <f>G9*H9</f>
        <v>36</v>
      </c>
      <c r="J9" s="16">
        <f>'[4]2nd Subject'!$C39</f>
        <v>31</v>
      </c>
      <c r="K9" s="16">
        <f>'[4]2nd Subject'!$D39</f>
        <v>45</v>
      </c>
      <c r="L9" s="27">
        <f>K9+J9</f>
        <v>76</v>
      </c>
      <c r="M9" s="18" t="str">
        <f>IF(L9&lt;50,"F",IF(L9&lt;=54.99,"P",IF(L9&lt;=59.99,"C",IF(L9&lt;=64.99,"B",IF(L9&lt;=69.99,"B+",IF(L9&lt;=74.99,"A",IF(L9&lt;=79.99,"A+","O")))))))</f>
        <v>A+</v>
      </c>
      <c r="N9" s="18" t="str">
        <f>IF(L9&lt;50,"0",IF(L9&lt;=54.99,"4",IF(L9&lt;=59.99,"5",IF(L9&lt;=64.99,"6",IF(L9&lt;=69.99,"7",IF(L9&lt;=74.99,"8",IF(L9&lt;=79.99,"9","10")))))))</f>
        <v>9</v>
      </c>
      <c r="O9" s="28">
        <v>4</v>
      </c>
      <c r="P9" s="29">
        <f>N9*O9</f>
        <v>36</v>
      </c>
      <c r="Q9" s="21">
        <f>'[5]3rd Subject'!$C39</f>
        <v>31</v>
      </c>
      <c r="R9" s="21">
        <f>'[5]3rd Subject'!$D39</f>
        <v>45</v>
      </c>
      <c r="S9" s="27">
        <f>R9+Q9</f>
        <v>76</v>
      </c>
      <c r="T9" s="18" t="str">
        <f>IF(S9&lt;50,"F",IF(S9&lt;=54.99,"P",IF(S9&lt;=59.99,"C",IF(S9&lt;=64.99,"B",IF(S9&lt;=69.99,"B+",IF(S9&lt;=74.99,"A",IF(S9&lt;=79.99,"A+","O")))))))</f>
        <v>A+</v>
      </c>
      <c r="U9" s="18" t="str">
        <f>IF(S9&lt;50,"0",IF(S9&lt;=54.99,"4",IF(S9&lt;=59.99,"5",IF(S9&lt;=64.99,"6",IF(S9&lt;=69.99,"7",IF(S9&lt;=74.99,"8",IF(S9&lt;=79.99,"9","10")))))))</f>
        <v>9</v>
      </c>
      <c r="V9" s="28">
        <v>4</v>
      </c>
      <c r="W9" s="29">
        <f>U9*V9</f>
        <v>36</v>
      </c>
      <c r="X9" s="22">
        <f>'[6]4th Subject'!$C39</f>
        <v>31</v>
      </c>
      <c r="Y9" s="23">
        <f>'[6]4th Subject'!$D39</f>
        <v>45</v>
      </c>
      <c r="Z9" s="27">
        <f>Y9+X9</f>
        <v>76</v>
      </c>
      <c r="AA9" s="18" t="str">
        <f>IF(Z9&lt;50,"F",IF(Z9&lt;=54.99,"P",IF(Z9&lt;=59.99,"C",IF(Z9&lt;=64.99,"B",IF(Z9&lt;=69.99,"B+",IF(Z9&lt;=74.99,"A",IF(Z9&lt;=79.99,"A+","O")))))))</f>
        <v>A+</v>
      </c>
      <c r="AB9" s="18" t="str">
        <f>IF(Z9&lt;50,"0",IF(Z9&lt;=54.99,"4",IF(Z9&lt;=59.99,"5",IF(Z9&lt;=64.99,"6",IF(Z9&lt;=69.99,"7",IF(Z9&lt;=74.99,"8",IF(Z9&lt;=79.99,"9","10")))))))</f>
        <v>9</v>
      </c>
      <c r="AC9" s="28">
        <v>4</v>
      </c>
      <c r="AD9" s="29">
        <f>AB9*AC9</f>
        <v>36</v>
      </c>
      <c r="AE9" s="22">
        <f>'[7]5th Subject'!$C39</f>
        <v>31</v>
      </c>
      <c r="AF9" s="23">
        <f>'[7]5th Subject'!$D39</f>
        <v>45</v>
      </c>
      <c r="AG9" s="27">
        <f>AF9+AE9</f>
        <v>76</v>
      </c>
      <c r="AH9" s="18" t="str">
        <f>IF(AG9&lt;50,"F",IF(AG9&lt;=54.99,"P",IF(AG9&lt;=59.99,"C",IF(AG9&lt;=64.99,"B",IF(AG9&lt;=69.99,"B+",IF(AG9&lt;=74.99,"A",IF(AG9&lt;=79.99,"A+","O")))))))</f>
        <v>A+</v>
      </c>
      <c r="AI9" s="18" t="str">
        <f>IF(AG9&lt;50,"0",IF(AG9&lt;=54.99,"4",IF(AG9&lt;=59.99,"5",IF(AG9&lt;=64.99,"6",IF(AG9&lt;=69.99,"7",IF(AG9&lt;=74.99,"8",IF(AG9&lt;=79.99,"9","10")))))))</f>
        <v>9</v>
      </c>
      <c r="AJ9" s="28">
        <v>4</v>
      </c>
      <c r="AK9" s="29">
        <f>AI9*AJ9</f>
        <v>36</v>
      </c>
      <c r="AL9" s="22">
        <f>'[8]6th Subject'!$C39</f>
        <v>31</v>
      </c>
      <c r="AM9" s="22">
        <f>'[8]6th Subject'!$D39</f>
        <v>45</v>
      </c>
      <c r="AN9" s="27">
        <f>AM9+AL9</f>
        <v>76</v>
      </c>
      <c r="AO9" s="18" t="str">
        <f>IF(AN9&lt;50,"F",IF(AN9&lt;=54.99,"P",IF(AN9&lt;=59.99,"C",IF(AN9&lt;=64.99,"B",IF(AN9&lt;=69.99,"B+",IF(AN9&lt;=74.99,"A",IF(AN9&lt;=79.99,"A+","O")))))))</f>
        <v>A+</v>
      </c>
      <c r="AP9" s="18" t="str">
        <f>IF(AN9&lt;50,"0",IF(AN9&lt;=54.99,"4",IF(AN9&lt;=59.99,"5",IF(AN9&lt;=64.99,"6",IF(AN9&lt;=69.99,"7",IF(AN9&lt;=74.99,"8",IF(AN9&lt;=79.99,"9","10")))))))</f>
        <v>9</v>
      </c>
      <c r="AQ9" s="28">
        <v>4</v>
      </c>
      <c r="AR9" s="29">
        <f>AP9*AQ9</f>
        <v>36</v>
      </c>
      <c r="AS9" s="16">
        <f>'[9]7th Subject'!$C39</f>
        <v>31</v>
      </c>
      <c r="AT9" s="16">
        <f>'[9]7th Subject'!$D39</f>
        <v>45</v>
      </c>
      <c r="AU9" s="27">
        <f>AT9+AS9</f>
        <v>76</v>
      </c>
      <c r="AV9" s="18" t="str">
        <f>IF(AU9&lt;50,"F",IF(AU9&lt;=54.99,"P",IF(AU9&lt;=59.99,"C",IF(AU9&lt;=64.99,"B",IF(AU9&lt;=69.99,"B+",IF(AU9&lt;=74.99,"A",IF(AU9&lt;=79.99,"A+","O")))))))</f>
        <v>A+</v>
      </c>
      <c r="AW9" s="18" t="str">
        <f>IF(AU9&lt;50,"0",IF(AU9&lt;=54.99,"4",IF(AU9&lt;=59.99,"5",IF(AU9&lt;=64.99,"6",IF(AU9&lt;=69.99,"7",IF(AU9&lt;=74.99,"8",IF(AU9&lt;=79.99,"9","10")))))))</f>
        <v>9</v>
      </c>
      <c r="AX9" s="28">
        <v>4</v>
      </c>
      <c r="AY9" s="29">
        <f>AW9*AX9</f>
        <v>36</v>
      </c>
      <c r="AZ9" s="22">
        <f>'[10]8th Subject'!$C39</f>
        <v>31</v>
      </c>
      <c r="BA9" s="22">
        <f>'[10]8th Subject'!$D39</f>
        <v>45</v>
      </c>
      <c r="BB9" s="27">
        <f>BA9+AZ9</f>
        <v>76</v>
      </c>
      <c r="BC9" s="18" t="str">
        <f>IF(BB9&lt;50,"F",IF(BB9&lt;=54.99,"P",IF(BB9&lt;=59.99,"C",IF(BB9&lt;=64.99,"B",IF(BB9&lt;=69.99,"B+",IF(BB9&lt;=74.99,"A",IF(BB9&lt;=79.99,"A+","O")))))))</f>
        <v>A+</v>
      </c>
      <c r="BD9" s="18" t="str">
        <f>IF(BB9&lt;50,"0",IF(BB9&lt;=54.99,"4",IF(BB9&lt;=59.99,"5",IF(BB9&lt;=64.99,"6",IF(BB9&lt;=69.99,"7",IF(BB9&lt;=74.99,"8",IF(BB9&lt;=79.99,"9","10")))))))</f>
        <v>9</v>
      </c>
      <c r="BE9" s="28">
        <v>4</v>
      </c>
      <c r="BF9" s="29">
        <f>BD9*BE9</f>
        <v>36</v>
      </c>
      <c r="BG9" s="27">
        <f>AZ9+AS9+AE9+X9+J9+C9+Q9+AL9</f>
        <v>248</v>
      </c>
      <c r="BH9" s="27">
        <f>BA9+AT9+AF9+Y9+K9+D9+R9+AM9</f>
        <v>360</v>
      </c>
      <c r="BI9" s="27">
        <f>BH9+BG9</f>
        <v>608</v>
      </c>
      <c r="BJ9" s="30">
        <f>G9+N9+U9+AB9+AI9+AP9+BD9+AW9</f>
        <v>72</v>
      </c>
      <c r="BK9" s="30">
        <f>I9+P9+W9+AD9+AK9+AY9+BF9+AR9</f>
        <v>288</v>
      </c>
      <c r="BL9" s="25">
        <f>(BN9-0.75)*10</f>
        <v>82.5</v>
      </c>
      <c r="BM9" s="17" t="str">
        <f>IF(OR(C9&lt;20,D9&lt;30,J9&lt;20,K9&lt;30,Q9&lt;20,R9&lt;30,X9&lt;20,Y9&lt;30,AE9&lt;20,AF9&lt;30,AL9&lt;20,AM9&lt;30,AS9&lt;20,AT9&lt;30,AZ9&lt;20,BA9&lt;30),"Unsuccessful","Successful")</f>
        <v>Successful</v>
      </c>
      <c r="BN9" s="31">
        <f>BK9/32</f>
        <v>9</v>
      </c>
      <c r="BO9" s="18" t="str">
        <f>IF(BN9&lt;=4,"F",IF(BN9&lt;=4.5,"P",IF(BN9&lt;=5.5,"C",IF(BN9&lt;=6.5,"B",IF(BN9&lt;=7.5,"B+",IF(BN9&lt;=8.5,"A",IF(BN9&lt;=9.5,"A+","O")))))))</f>
        <v>A+</v>
      </c>
      <c r="BP9" s="14" t="str">
        <f>IF(BN9&lt;=4,"50",IF(BN9&lt;=4.5,"50-54.99",IF(BN9&lt;=5.5,"55-59.99",IF(BN9&lt;=6.5,"60-64.99",IF(BN9&lt;=7.5,"65-69.99",IF(BN9&lt;=8.5,"70-74.99",IF(BN9&lt;=9.5,"75-79.99","10")))))))</f>
        <v>75-79.99</v>
      </c>
      <c r="BS9">
        <f>RANK(BN9,$BN$3:$BN$135)</f>
        <v>2</v>
      </c>
    </row>
    <row r="10" spans="1:71" x14ac:dyDescent="0.25">
      <c r="A10" s="14" t="str">
        <f>[2]Sheet1!$A82</f>
        <v>MMS18-20/081</v>
      </c>
      <c r="B10" s="15" t="str">
        <f>[2]Sheet1!$B82</f>
        <v>/PEDNEKAR MADHUGANDHA DILIP DEEPALI</v>
      </c>
      <c r="C10" s="16">
        <f>'[3]1st Subject'!$C83</f>
        <v>31</v>
      </c>
      <c r="D10" s="16">
        <f>'[3]1st Subject'!$D83</f>
        <v>45</v>
      </c>
      <c r="E10" s="27">
        <f>D10+C10</f>
        <v>76</v>
      </c>
      <c r="F10" s="18" t="str">
        <f>IF(E10&lt;50,"F",IF(E10&lt;=54.99,"P",IF(E10&lt;=59.99,"C",IF(E10&lt;=64.99,"B",IF(E10&lt;=69.99,"B+",IF(E10&lt;=74.99,"A",IF(E10&lt;=79.99,"A+","O")))))))</f>
        <v>A+</v>
      </c>
      <c r="G10" s="18" t="str">
        <f>IF(E10&lt;50,"0",IF(E10&lt;=54.99,"4",IF(E10&lt;=59.99,"5",IF(E10&lt;=64.99,"6",IF(E10&lt;=69.99,"7",IF(E10&lt;=74.99,"8",IF(E10&lt;=79.99,"9","10")))))))</f>
        <v>9</v>
      </c>
      <c r="H10" s="28">
        <v>4</v>
      </c>
      <c r="I10" s="29">
        <f>G10*H10</f>
        <v>36</v>
      </c>
      <c r="J10" s="16">
        <f>'[4]2nd Subject'!$C83</f>
        <v>31</v>
      </c>
      <c r="K10" s="16">
        <f>'[4]2nd Subject'!$D83</f>
        <v>45</v>
      </c>
      <c r="L10" s="27">
        <f>K10+J10</f>
        <v>76</v>
      </c>
      <c r="M10" s="18" t="str">
        <f>IF(L10&lt;50,"F",IF(L10&lt;=54.99,"P",IF(L10&lt;=59.99,"C",IF(L10&lt;=64.99,"B",IF(L10&lt;=69.99,"B+",IF(L10&lt;=74.99,"A",IF(L10&lt;=79.99,"A+","O")))))))</f>
        <v>A+</v>
      </c>
      <c r="N10" s="18" t="str">
        <f>IF(L10&lt;50,"0",IF(L10&lt;=54.99,"4",IF(L10&lt;=59.99,"5",IF(L10&lt;=64.99,"6",IF(L10&lt;=69.99,"7",IF(L10&lt;=74.99,"8",IF(L10&lt;=79.99,"9","10")))))))</f>
        <v>9</v>
      </c>
      <c r="O10" s="28">
        <v>4</v>
      </c>
      <c r="P10" s="29">
        <f>N10*O10</f>
        <v>36</v>
      </c>
      <c r="Q10" s="21">
        <f>'[5]3rd Subject'!$C83</f>
        <v>31</v>
      </c>
      <c r="R10" s="21">
        <f>'[5]3rd Subject'!$D83</f>
        <v>45</v>
      </c>
      <c r="S10" s="27">
        <f>R10+Q10</f>
        <v>76</v>
      </c>
      <c r="T10" s="18" t="str">
        <f>IF(S10&lt;50,"F",IF(S10&lt;=54.99,"P",IF(S10&lt;=59.99,"C",IF(S10&lt;=64.99,"B",IF(S10&lt;=69.99,"B+",IF(S10&lt;=74.99,"A",IF(S10&lt;=79.99,"A+","O")))))))</f>
        <v>A+</v>
      </c>
      <c r="U10" s="18" t="str">
        <f>IF(S10&lt;50,"0",IF(S10&lt;=54.99,"4",IF(S10&lt;=59.99,"5",IF(S10&lt;=64.99,"6",IF(S10&lt;=69.99,"7",IF(S10&lt;=74.99,"8",IF(S10&lt;=79.99,"9","10")))))))</f>
        <v>9</v>
      </c>
      <c r="V10" s="28">
        <v>4</v>
      </c>
      <c r="W10" s="29">
        <f>U10*V10</f>
        <v>36</v>
      </c>
      <c r="X10" s="22">
        <f>'[6]4th Subject'!$C83</f>
        <v>31</v>
      </c>
      <c r="Y10" s="23">
        <f>'[6]4th Subject'!$D83</f>
        <v>45</v>
      </c>
      <c r="Z10" s="27">
        <f>Y10+X10</f>
        <v>76</v>
      </c>
      <c r="AA10" s="18" t="str">
        <f>IF(Z10&lt;50,"F",IF(Z10&lt;=54.99,"P",IF(Z10&lt;=59.99,"C",IF(Z10&lt;=64.99,"B",IF(Z10&lt;=69.99,"B+",IF(Z10&lt;=74.99,"A",IF(Z10&lt;=79.99,"A+","O")))))))</f>
        <v>A+</v>
      </c>
      <c r="AB10" s="18" t="str">
        <f>IF(Z10&lt;50,"0",IF(Z10&lt;=54.99,"4",IF(Z10&lt;=59.99,"5",IF(Z10&lt;=64.99,"6",IF(Z10&lt;=69.99,"7",IF(Z10&lt;=74.99,"8",IF(Z10&lt;=79.99,"9","10")))))))</f>
        <v>9</v>
      </c>
      <c r="AC10" s="28">
        <v>4</v>
      </c>
      <c r="AD10" s="29">
        <f>AB10*AC10</f>
        <v>36</v>
      </c>
      <c r="AE10" s="22">
        <f>'[7]5th Subject'!$C83</f>
        <v>31</v>
      </c>
      <c r="AF10" s="23">
        <f>'[7]5th Subject'!$D83</f>
        <v>45</v>
      </c>
      <c r="AG10" s="27">
        <f>AF10+AE10</f>
        <v>76</v>
      </c>
      <c r="AH10" s="18" t="str">
        <f>IF(AG10&lt;50,"F",IF(AG10&lt;=54.99,"P",IF(AG10&lt;=59.99,"C",IF(AG10&lt;=64.99,"B",IF(AG10&lt;=69.99,"B+",IF(AG10&lt;=74.99,"A",IF(AG10&lt;=79.99,"A+","O")))))))</f>
        <v>A+</v>
      </c>
      <c r="AI10" s="18" t="str">
        <f>IF(AG10&lt;50,"0",IF(AG10&lt;=54.99,"4",IF(AG10&lt;=59.99,"5",IF(AG10&lt;=64.99,"6",IF(AG10&lt;=69.99,"7",IF(AG10&lt;=74.99,"8",IF(AG10&lt;=79.99,"9","10")))))))</f>
        <v>9</v>
      </c>
      <c r="AJ10" s="28">
        <v>4</v>
      </c>
      <c r="AK10" s="29">
        <f>AI10*AJ10</f>
        <v>36</v>
      </c>
      <c r="AL10" s="22">
        <f>'[8]6th Subject'!$C83</f>
        <v>31</v>
      </c>
      <c r="AM10" s="22">
        <f>'[8]6th Subject'!$D83</f>
        <v>45</v>
      </c>
      <c r="AN10" s="27">
        <f>AM10+AL10</f>
        <v>76</v>
      </c>
      <c r="AO10" s="18" t="str">
        <f>IF(AN10&lt;50,"F",IF(AN10&lt;=54.99,"P",IF(AN10&lt;=59.99,"C",IF(AN10&lt;=64.99,"B",IF(AN10&lt;=69.99,"B+",IF(AN10&lt;=74.99,"A",IF(AN10&lt;=79.99,"A+","O")))))))</f>
        <v>A+</v>
      </c>
      <c r="AP10" s="18" t="str">
        <f>IF(AN10&lt;50,"0",IF(AN10&lt;=54.99,"4",IF(AN10&lt;=59.99,"5",IF(AN10&lt;=64.99,"6",IF(AN10&lt;=69.99,"7",IF(AN10&lt;=74.99,"8",IF(AN10&lt;=79.99,"9","10")))))))</f>
        <v>9</v>
      </c>
      <c r="AQ10" s="28">
        <v>4</v>
      </c>
      <c r="AR10" s="29">
        <f>AP10*AQ10</f>
        <v>36</v>
      </c>
      <c r="AS10" s="16">
        <f>'[9]7th Subject'!$C83</f>
        <v>31</v>
      </c>
      <c r="AT10" s="16">
        <f>'[9]7th Subject'!$D83</f>
        <v>45</v>
      </c>
      <c r="AU10" s="27">
        <f>AT10+AS10</f>
        <v>76</v>
      </c>
      <c r="AV10" s="18" t="str">
        <f>IF(AU10&lt;50,"F",IF(AU10&lt;=54.99,"P",IF(AU10&lt;=59.99,"C",IF(AU10&lt;=64.99,"B",IF(AU10&lt;=69.99,"B+",IF(AU10&lt;=74.99,"A",IF(AU10&lt;=79.99,"A+","O")))))))</f>
        <v>A+</v>
      </c>
      <c r="AW10" s="18" t="str">
        <f>IF(AU10&lt;50,"0",IF(AU10&lt;=54.99,"4",IF(AU10&lt;=59.99,"5",IF(AU10&lt;=64.99,"6",IF(AU10&lt;=69.99,"7",IF(AU10&lt;=74.99,"8",IF(AU10&lt;=79.99,"9","10")))))))</f>
        <v>9</v>
      </c>
      <c r="AX10" s="28">
        <v>4</v>
      </c>
      <c r="AY10" s="29">
        <f>AW10*AX10</f>
        <v>36</v>
      </c>
      <c r="AZ10" s="22">
        <f>'[10]8th Subject'!$C83</f>
        <v>31</v>
      </c>
      <c r="BA10" s="22">
        <f>'[10]8th Subject'!$D83</f>
        <v>45</v>
      </c>
      <c r="BB10" s="27">
        <f>BA10+AZ10</f>
        <v>76</v>
      </c>
      <c r="BC10" s="18" t="str">
        <f>IF(BB10&lt;50,"F",IF(BB10&lt;=54.99,"P",IF(BB10&lt;=59.99,"C",IF(BB10&lt;=64.99,"B",IF(BB10&lt;=69.99,"B+",IF(BB10&lt;=74.99,"A",IF(BB10&lt;=79.99,"A+","O")))))))</f>
        <v>A+</v>
      </c>
      <c r="BD10" s="18" t="str">
        <f>IF(BB10&lt;50,"0",IF(BB10&lt;=54.99,"4",IF(BB10&lt;=59.99,"5",IF(BB10&lt;=64.99,"6",IF(BB10&lt;=69.99,"7",IF(BB10&lt;=74.99,"8",IF(BB10&lt;=79.99,"9","10")))))))</f>
        <v>9</v>
      </c>
      <c r="BE10" s="28">
        <v>4</v>
      </c>
      <c r="BF10" s="29">
        <f>BD10*BE10</f>
        <v>36</v>
      </c>
      <c r="BG10" s="27">
        <f>AZ10+AS10+AE10+X10+J10+C10+Q10+AL10</f>
        <v>248</v>
      </c>
      <c r="BH10" s="27">
        <f>BA10+AT10+AF10+Y10+K10+D10+R10+AM10</f>
        <v>360</v>
      </c>
      <c r="BI10" s="27">
        <f>BH10+BG10</f>
        <v>608</v>
      </c>
      <c r="BJ10" s="30">
        <f>G10+N10+U10+AB10+AI10+AP10+BD10+AW10</f>
        <v>72</v>
      </c>
      <c r="BK10" s="30">
        <f>I10+P10+W10+AD10+AK10+AY10+BF10+AR10</f>
        <v>288</v>
      </c>
      <c r="BL10" s="25">
        <f>(BN10-0.75)*10</f>
        <v>82.5</v>
      </c>
      <c r="BM10" s="17" t="str">
        <f>IF(OR(C10&lt;20,D10&lt;30,J10&lt;20,K10&lt;30,Q10&lt;20,R10&lt;30,X10&lt;20,Y10&lt;30,AE10&lt;20,AF10&lt;30,AL10&lt;20,AM10&lt;30,AS10&lt;20,AT10&lt;30,AZ10&lt;20,BA10&lt;30),"Unsuccessful","Successful")</f>
        <v>Successful</v>
      </c>
      <c r="BN10" s="31">
        <f>BK10/32</f>
        <v>9</v>
      </c>
      <c r="BO10" s="18" t="str">
        <f>IF(BN10&lt;=4,"F",IF(BN10&lt;=4.5,"P",IF(BN10&lt;=5.5,"C",IF(BN10&lt;=6.5,"B",IF(BN10&lt;=7.5,"B+",IF(BN10&lt;=8.5,"A",IF(BN10&lt;=9.5,"A+","O")))))))</f>
        <v>A+</v>
      </c>
      <c r="BP10" s="14" t="str">
        <f>IF(BN10&lt;=4,"50",IF(BN10&lt;=4.5,"50-54.99",IF(BN10&lt;=5.5,"55-59.99",IF(BN10&lt;=6.5,"60-64.99",IF(BN10&lt;=7.5,"65-69.99",IF(BN10&lt;=8.5,"70-74.99",IF(BN10&lt;=9.5,"75-79.99","10")))))))</f>
        <v>75-79.99</v>
      </c>
      <c r="BS10">
        <f>RANK(BN10,$BN$3:$BN$135)</f>
        <v>2</v>
      </c>
    </row>
    <row r="11" spans="1:71" x14ac:dyDescent="0.25">
      <c r="A11" s="14" t="str">
        <f>[2]Sheet1!$A93</f>
        <v>MMS18-20/092</v>
      </c>
      <c r="B11" s="15" t="str">
        <f>[2]Sheet1!$B93</f>
        <v>SAWANT AVADHUT RAJAN SHRADDHA</v>
      </c>
      <c r="C11" s="16">
        <f>'[3]1st Subject'!$C94</f>
        <v>31</v>
      </c>
      <c r="D11" s="16">
        <f>'[3]1st Subject'!$D94</f>
        <v>45</v>
      </c>
      <c r="E11" s="27">
        <f>D11+C11</f>
        <v>76</v>
      </c>
      <c r="F11" s="18" t="str">
        <f>IF(E11&lt;50,"F",IF(E11&lt;=54.99,"P",IF(E11&lt;=59.99,"C",IF(E11&lt;=64.99,"B",IF(E11&lt;=69.99,"B+",IF(E11&lt;=74.99,"A",IF(E11&lt;=79.99,"A+","O")))))))</f>
        <v>A+</v>
      </c>
      <c r="G11" s="18" t="str">
        <f>IF(E11&lt;50,"0",IF(E11&lt;=54.99,"4",IF(E11&lt;=59.99,"5",IF(E11&lt;=64.99,"6",IF(E11&lt;=69.99,"7",IF(E11&lt;=74.99,"8",IF(E11&lt;=79.99,"9","10")))))))</f>
        <v>9</v>
      </c>
      <c r="H11" s="28">
        <v>4</v>
      </c>
      <c r="I11" s="29">
        <f>G11*H11</f>
        <v>36</v>
      </c>
      <c r="J11" s="16">
        <f>'[4]2nd Subject'!$C94</f>
        <v>31</v>
      </c>
      <c r="K11" s="16">
        <f>'[4]2nd Subject'!$D94</f>
        <v>45</v>
      </c>
      <c r="L11" s="27">
        <f>K11+J11</f>
        <v>76</v>
      </c>
      <c r="M11" s="18" t="str">
        <f>IF(L11&lt;50,"F",IF(L11&lt;=54.99,"P",IF(L11&lt;=59.99,"C",IF(L11&lt;=64.99,"B",IF(L11&lt;=69.99,"B+",IF(L11&lt;=74.99,"A",IF(L11&lt;=79.99,"A+","O")))))))</f>
        <v>A+</v>
      </c>
      <c r="N11" s="18" t="str">
        <f>IF(L11&lt;50,"0",IF(L11&lt;=54.99,"4",IF(L11&lt;=59.99,"5",IF(L11&lt;=64.99,"6",IF(L11&lt;=69.99,"7",IF(L11&lt;=74.99,"8",IF(L11&lt;=79.99,"9","10")))))))</f>
        <v>9</v>
      </c>
      <c r="O11" s="28">
        <v>4</v>
      </c>
      <c r="P11" s="29">
        <f>N11*O11</f>
        <v>36</v>
      </c>
      <c r="Q11" s="21">
        <f>'[5]3rd Subject'!$C94</f>
        <v>31</v>
      </c>
      <c r="R11" s="21">
        <f>'[5]3rd Subject'!$D94</f>
        <v>45</v>
      </c>
      <c r="S11" s="27">
        <f>R11+Q11</f>
        <v>76</v>
      </c>
      <c r="T11" s="18" t="str">
        <f>IF(S11&lt;50,"F",IF(S11&lt;=54.99,"P",IF(S11&lt;=59.99,"C",IF(S11&lt;=64.99,"B",IF(S11&lt;=69.99,"B+",IF(S11&lt;=74.99,"A",IF(S11&lt;=79.99,"A+","O")))))))</f>
        <v>A+</v>
      </c>
      <c r="U11" s="18" t="str">
        <f>IF(S11&lt;50,"0",IF(S11&lt;=54.99,"4",IF(S11&lt;=59.99,"5",IF(S11&lt;=64.99,"6",IF(S11&lt;=69.99,"7",IF(S11&lt;=74.99,"8",IF(S11&lt;=79.99,"9","10")))))))</f>
        <v>9</v>
      </c>
      <c r="V11" s="28">
        <v>4</v>
      </c>
      <c r="W11" s="29">
        <f>U11*V11</f>
        <v>36</v>
      </c>
      <c r="X11" s="22">
        <f>'[6]4th Subject'!$C94</f>
        <v>31</v>
      </c>
      <c r="Y11" s="23">
        <f>'[6]4th Subject'!$D94</f>
        <v>45</v>
      </c>
      <c r="Z11" s="27">
        <f>Y11+X11</f>
        <v>76</v>
      </c>
      <c r="AA11" s="18" t="str">
        <f>IF(Z11&lt;50,"F",IF(Z11&lt;=54.99,"P",IF(Z11&lt;=59.99,"C",IF(Z11&lt;=64.99,"B",IF(Z11&lt;=69.99,"B+",IF(Z11&lt;=74.99,"A",IF(Z11&lt;=79.99,"A+","O")))))))</f>
        <v>A+</v>
      </c>
      <c r="AB11" s="18" t="str">
        <f>IF(Z11&lt;50,"0",IF(Z11&lt;=54.99,"4",IF(Z11&lt;=59.99,"5",IF(Z11&lt;=64.99,"6",IF(Z11&lt;=69.99,"7",IF(Z11&lt;=74.99,"8",IF(Z11&lt;=79.99,"9","10")))))))</f>
        <v>9</v>
      </c>
      <c r="AC11" s="28">
        <v>4</v>
      </c>
      <c r="AD11" s="29">
        <f>AB11*AC11</f>
        <v>36</v>
      </c>
      <c r="AE11" s="22">
        <f>'[7]5th Subject'!$C94</f>
        <v>31</v>
      </c>
      <c r="AF11" s="23">
        <f>'[7]5th Subject'!$D94</f>
        <v>45</v>
      </c>
      <c r="AG11" s="27">
        <f>AF11+AE11</f>
        <v>76</v>
      </c>
      <c r="AH11" s="18" t="str">
        <f>IF(AG11&lt;50,"F",IF(AG11&lt;=54.99,"P",IF(AG11&lt;=59.99,"C",IF(AG11&lt;=64.99,"B",IF(AG11&lt;=69.99,"B+",IF(AG11&lt;=74.99,"A",IF(AG11&lt;=79.99,"A+","O")))))))</f>
        <v>A+</v>
      </c>
      <c r="AI11" s="18" t="str">
        <f>IF(AG11&lt;50,"0",IF(AG11&lt;=54.99,"4",IF(AG11&lt;=59.99,"5",IF(AG11&lt;=64.99,"6",IF(AG11&lt;=69.99,"7",IF(AG11&lt;=74.99,"8",IF(AG11&lt;=79.99,"9","10")))))))</f>
        <v>9</v>
      </c>
      <c r="AJ11" s="28">
        <v>4</v>
      </c>
      <c r="AK11" s="29">
        <f>AI11*AJ11</f>
        <v>36</v>
      </c>
      <c r="AL11" s="22">
        <f>'[8]6th Subject'!$C94</f>
        <v>31</v>
      </c>
      <c r="AM11" s="22">
        <f>'[8]6th Subject'!$D94</f>
        <v>45</v>
      </c>
      <c r="AN11" s="27">
        <f>AM11+AL11</f>
        <v>76</v>
      </c>
      <c r="AO11" s="18" t="str">
        <f>IF(AN11&lt;50,"F",IF(AN11&lt;=54.99,"P",IF(AN11&lt;=59.99,"C",IF(AN11&lt;=64.99,"B",IF(AN11&lt;=69.99,"B+",IF(AN11&lt;=74.99,"A",IF(AN11&lt;=79.99,"A+","O")))))))</f>
        <v>A+</v>
      </c>
      <c r="AP11" s="18" t="str">
        <f>IF(AN11&lt;50,"0",IF(AN11&lt;=54.99,"4",IF(AN11&lt;=59.99,"5",IF(AN11&lt;=64.99,"6",IF(AN11&lt;=69.99,"7",IF(AN11&lt;=74.99,"8",IF(AN11&lt;=79.99,"9","10")))))))</f>
        <v>9</v>
      </c>
      <c r="AQ11" s="28">
        <v>4</v>
      </c>
      <c r="AR11" s="29">
        <f>AP11*AQ11</f>
        <v>36</v>
      </c>
      <c r="AS11" s="16">
        <f>'[9]7th Subject'!$C94</f>
        <v>31</v>
      </c>
      <c r="AT11" s="16">
        <f>'[9]7th Subject'!$D94</f>
        <v>45</v>
      </c>
      <c r="AU11" s="27">
        <f>AT11+AS11</f>
        <v>76</v>
      </c>
      <c r="AV11" s="18" t="str">
        <f>IF(AU11&lt;50,"F",IF(AU11&lt;=54.99,"P",IF(AU11&lt;=59.99,"C",IF(AU11&lt;=64.99,"B",IF(AU11&lt;=69.99,"B+",IF(AU11&lt;=74.99,"A",IF(AU11&lt;=79.99,"A+","O")))))))</f>
        <v>A+</v>
      </c>
      <c r="AW11" s="18" t="str">
        <f>IF(AU11&lt;50,"0",IF(AU11&lt;=54.99,"4",IF(AU11&lt;=59.99,"5",IF(AU11&lt;=64.99,"6",IF(AU11&lt;=69.99,"7",IF(AU11&lt;=74.99,"8",IF(AU11&lt;=79.99,"9","10")))))))</f>
        <v>9</v>
      </c>
      <c r="AX11" s="28">
        <v>4</v>
      </c>
      <c r="AY11" s="29">
        <f>AW11*AX11</f>
        <v>36</v>
      </c>
      <c r="AZ11" s="22">
        <f>'[10]8th Subject'!$C94</f>
        <v>31</v>
      </c>
      <c r="BA11" s="22">
        <f>'[10]8th Subject'!$D94</f>
        <v>45</v>
      </c>
      <c r="BB11" s="27">
        <f>BA11+AZ11</f>
        <v>76</v>
      </c>
      <c r="BC11" s="18" t="str">
        <f>IF(BB11&lt;50,"F",IF(BB11&lt;=54.99,"P",IF(BB11&lt;=59.99,"C",IF(BB11&lt;=64.99,"B",IF(BB11&lt;=69.99,"B+",IF(BB11&lt;=74.99,"A",IF(BB11&lt;=79.99,"A+","O")))))))</f>
        <v>A+</v>
      </c>
      <c r="BD11" s="18" t="str">
        <f>IF(BB11&lt;50,"0",IF(BB11&lt;=54.99,"4",IF(BB11&lt;=59.99,"5",IF(BB11&lt;=64.99,"6",IF(BB11&lt;=69.99,"7",IF(BB11&lt;=74.99,"8",IF(BB11&lt;=79.99,"9","10")))))))</f>
        <v>9</v>
      </c>
      <c r="BE11" s="28">
        <v>4</v>
      </c>
      <c r="BF11" s="29">
        <f>BD11*BE11</f>
        <v>36</v>
      </c>
      <c r="BG11" s="27">
        <f>AZ11+AS11+AE11+X11+J11+C11+Q11+AL11</f>
        <v>248</v>
      </c>
      <c r="BH11" s="27">
        <f>BA11+AT11+AF11+Y11+K11+D11+R11+AM11</f>
        <v>360</v>
      </c>
      <c r="BI11" s="27">
        <f>BH11+BG11</f>
        <v>608</v>
      </c>
      <c r="BJ11" s="30">
        <f>G11+N11+U11+AB11+AI11+AP11+BD11+AW11</f>
        <v>72</v>
      </c>
      <c r="BK11" s="30">
        <f>I11+P11+W11+AD11+AK11+AY11+BF11+AR11</f>
        <v>288</v>
      </c>
      <c r="BL11" s="25">
        <f>(BN11-0.75)*10</f>
        <v>82.5</v>
      </c>
      <c r="BM11" s="17" t="str">
        <f>IF(OR(C11&lt;20,D11&lt;30,J11&lt;20,K11&lt;30,Q11&lt;20,R11&lt;30,X11&lt;20,Y11&lt;30,AE11&lt;20,AF11&lt;30,AL11&lt;20,AM11&lt;30,AS11&lt;20,AT11&lt;30,AZ11&lt;20,BA11&lt;30),"Unsuccessful","Successful")</f>
        <v>Successful</v>
      </c>
      <c r="BN11" s="31">
        <f>BK11/32</f>
        <v>9</v>
      </c>
      <c r="BO11" s="18" t="str">
        <f>IF(BN11&lt;=4,"F",IF(BN11&lt;=4.5,"P",IF(BN11&lt;=5.5,"C",IF(BN11&lt;=6.5,"B",IF(BN11&lt;=7.5,"B+",IF(BN11&lt;=8.5,"A",IF(BN11&lt;=9.5,"A+","O")))))))</f>
        <v>A+</v>
      </c>
      <c r="BP11" s="14" t="str">
        <f>IF(BN11&lt;=4,"50",IF(BN11&lt;=4.5,"50-54.99",IF(BN11&lt;=5.5,"55-59.99",IF(BN11&lt;=6.5,"60-64.99",IF(BN11&lt;=7.5,"65-69.99",IF(BN11&lt;=8.5,"70-74.99",IF(BN11&lt;=9.5,"75-79.99","10")))))))</f>
        <v>75-79.99</v>
      </c>
      <c r="BS11">
        <f>RANK(BN11,$BN$3:$BN$135)</f>
        <v>2</v>
      </c>
    </row>
    <row r="12" spans="1:71" x14ac:dyDescent="0.25">
      <c r="A12" s="14" t="str">
        <f>[2]Sheet1!$A104</f>
        <v>MMS18-20/103</v>
      </c>
      <c r="B12" s="15" t="str">
        <f>[2]Sheet1!$B104</f>
        <v>SINGH PRATIK SANJAY MEENA</v>
      </c>
      <c r="C12" s="16">
        <f>'[3]1st Subject'!$C105</f>
        <v>31</v>
      </c>
      <c r="D12" s="16">
        <f>'[3]1st Subject'!$D105</f>
        <v>45</v>
      </c>
      <c r="E12" s="27">
        <f>D12+C12</f>
        <v>76</v>
      </c>
      <c r="F12" s="18" t="str">
        <f>IF(E12&lt;50,"F",IF(E12&lt;=54.99,"P",IF(E12&lt;=59.99,"C",IF(E12&lt;=64.99,"B",IF(E12&lt;=69.99,"B+",IF(E12&lt;=74.99,"A",IF(E12&lt;=79.99,"A+","O")))))))</f>
        <v>A+</v>
      </c>
      <c r="G12" s="18" t="str">
        <f>IF(E12&lt;50,"0",IF(E12&lt;=54.99,"4",IF(E12&lt;=59.99,"5",IF(E12&lt;=64.99,"6",IF(E12&lt;=69.99,"7",IF(E12&lt;=74.99,"8",IF(E12&lt;=79.99,"9","10")))))))</f>
        <v>9</v>
      </c>
      <c r="H12" s="28">
        <v>4</v>
      </c>
      <c r="I12" s="29">
        <f>G12*H12</f>
        <v>36</v>
      </c>
      <c r="J12" s="16">
        <f>'[4]2nd Subject'!$C105</f>
        <v>31</v>
      </c>
      <c r="K12" s="16">
        <f>'[4]2nd Subject'!$D105</f>
        <v>45</v>
      </c>
      <c r="L12" s="27">
        <f>K12+J12</f>
        <v>76</v>
      </c>
      <c r="M12" s="18" t="str">
        <f>IF(L12&lt;50,"F",IF(L12&lt;=54.99,"P",IF(L12&lt;=59.99,"C",IF(L12&lt;=64.99,"B",IF(L12&lt;=69.99,"B+",IF(L12&lt;=74.99,"A",IF(L12&lt;=79.99,"A+","O")))))))</f>
        <v>A+</v>
      </c>
      <c r="N12" s="18" t="str">
        <f>IF(L12&lt;50,"0",IF(L12&lt;=54.99,"4",IF(L12&lt;=59.99,"5",IF(L12&lt;=64.99,"6",IF(L12&lt;=69.99,"7",IF(L12&lt;=74.99,"8",IF(L12&lt;=79.99,"9","10")))))))</f>
        <v>9</v>
      </c>
      <c r="O12" s="28">
        <v>4</v>
      </c>
      <c r="P12" s="29">
        <f>N12*O12</f>
        <v>36</v>
      </c>
      <c r="Q12" s="21">
        <f>'[5]3rd Subject'!$C105</f>
        <v>31</v>
      </c>
      <c r="R12" s="21">
        <f>'[5]3rd Subject'!$D105</f>
        <v>45</v>
      </c>
      <c r="S12" s="27">
        <f>R12+Q12</f>
        <v>76</v>
      </c>
      <c r="T12" s="18" t="str">
        <f>IF(S12&lt;50,"F",IF(S12&lt;=54.99,"P",IF(S12&lt;=59.99,"C",IF(S12&lt;=64.99,"B",IF(S12&lt;=69.99,"B+",IF(S12&lt;=74.99,"A",IF(S12&lt;=79.99,"A+","O")))))))</f>
        <v>A+</v>
      </c>
      <c r="U12" s="18" t="str">
        <f>IF(S12&lt;50,"0",IF(S12&lt;=54.99,"4",IF(S12&lt;=59.99,"5",IF(S12&lt;=64.99,"6",IF(S12&lt;=69.99,"7",IF(S12&lt;=74.99,"8",IF(S12&lt;=79.99,"9","10")))))))</f>
        <v>9</v>
      </c>
      <c r="V12" s="28">
        <v>4</v>
      </c>
      <c r="W12" s="29">
        <f>U12*V12</f>
        <v>36</v>
      </c>
      <c r="X12" s="22">
        <f>'[6]4th Subject'!$C105</f>
        <v>31</v>
      </c>
      <c r="Y12" s="23">
        <f>'[6]4th Subject'!$D105</f>
        <v>45</v>
      </c>
      <c r="Z12" s="27">
        <f>Y12+X12</f>
        <v>76</v>
      </c>
      <c r="AA12" s="18" t="str">
        <f>IF(Z12&lt;50,"F",IF(Z12&lt;=54.99,"P",IF(Z12&lt;=59.99,"C",IF(Z12&lt;=64.99,"B",IF(Z12&lt;=69.99,"B+",IF(Z12&lt;=74.99,"A",IF(Z12&lt;=79.99,"A+","O")))))))</f>
        <v>A+</v>
      </c>
      <c r="AB12" s="18" t="str">
        <f>IF(Z12&lt;50,"0",IF(Z12&lt;=54.99,"4",IF(Z12&lt;=59.99,"5",IF(Z12&lt;=64.99,"6",IF(Z12&lt;=69.99,"7",IF(Z12&lt;=74.99,"8",IF(Z12&lt;=79.99,"9","10")))))))</f>
        <v>9</v>
      </c>
      <c r="AC12" s="28">
        <v>4</v>
      </c>
      <c r="AD12" s="29">
        <f>AB12*AC12</f>
        <v>36</v>
      </c>
      <c r="AE12" s="22">
        <f>'[7]5th Subject'!$C105</f>
        <v>31</v>
      </c>
      <c r="AF12" s="23">
        <f>'[7]5th Subject'!$D105</f>
        <v>45</v>
      </c>
      <c r="AG12" s="27">
        <f>AF12+AE12</f>
        <v>76</v>
      </c>
      <c r="AH12" s="18" t="str">
        <f>IF(AG12&lt;50,"F",IF(AG12&lt;=54.99,"P",IF(AG12&lt;=59.99,"C",IF(AG12&lt;=64.99,"B",IF(AG12&lt;=69.99,"B+",IF(AG12&lt;=74.99,"A",IF(AG12&lt;=79.99,"A+","O")))))))</f>
        <v>A+</v>
      </c>
      <c r="AI12" s="18" t="str">
        <f>IF(AG12&lt;50,"0",IF(AG12&lt;=54.99,"4",IF(AG12&lt;=59.99,"5",IF(AG12&lt;=64.99,"6",IF(AG12&lt;=69.99,"7",IF(AG12&lt;=74.99,"8",IF(AG12&lt;=79.99,"9","10")))))))</f>
        <v>9</v>
      </c>
      <c r="AJ12" s="28">
        <v>4</v>
      </c>
      <c r="AK12" s="29">
        <f>AI12*AJ12</f>
        <v>36</v>
      </c>
      <c r="AL12" s="22">
        <f>'[8]6th Subject'!$C105</f>
        <v>31</v>
      </c>
      <c r="AM12" s="22">
        <f>'[8]6th Subject'!$D105</f>
        <v>45</v>
      </c>
      <c r="AN12" s="27">
        <f>AM12+AL12</f>
        <v>76</v>
      </c>
      <c r="AO12" s="18" t="str">
        <f>IF(AN12&lt;50,"F",IF(AN12&lt;=54.99,"P",IF(AN12&lt;=59.99,"C",IF(AN12&lt;=64.99,"B",IF(AN12&lt;=69.99,"B+",IF(AN12&lt;=74.99,"A",IF(AN12&lt;=79.99,"A+","O")))))))</f>
        <v>A+</v>
      </c>
      <c r="AP12" s="18" t="str">
        <f>IF(AN12&lt;50,"0",IF(AN12&lt;=54.99,"4",IF(AN12&lt;=59.99,"5",IF(AN12&lt;=64.99,"6",IF(AN12&lt;=69.99,"7",IF(AN12&lt;=74.99,"8",IF(AN12&lt;=79.99,"9","10")))))))</f>
        <v>9</v>
      </c>
      <c r="AQ12" s="28">
        <v>4</v>
      </c>
      <c r="AR12" s="29">
        <f>AP12*AQ12</f>
        <v>36</v>
      </c>
      <c r="AS12" s="16">
        <f>'[9]7th Subject'!$C105</f>
        <v>31</v>
      </c>
      <c r="AT12" s="16">
        <f>'[9]7th Subject'!$D105</f>
        <v>45</v>
      </c>
      <c r="AU12" s="27">
        <f>AT12+AS12</f>
        <v>76</v>
      </c>
      <c r="AV12" s="18" t="str">
        <f>IF(AU12&lt;50,"F",IF(AU12&lt;=54.99,"P",IF(AU12&lt;=59.99,"C",IF(AU12&lt;=64.99,"B",IF(AU12&lt;=69.99,"B+",IF(AU12&lt;=74.99,"A",IF(AU12&lt;=79.99,"A+","O")))))))</f>
        <v>A+</v>
      </c>
      <c r="AW12" s="18" t="str">
        <f>IF(AU12&lt;50,"0",IF(AU12&lt;=54.99,"4",IF(AU12&lt;=59.99,"5",IF(AU12&lt;=64.99,"6",IF(AU12&lt;=69.99,"7",IF(AU12&lt;=74.99,"8",IF(AU12&lt;=79.99,"9","10")))))))</f>
        <v>9</v>
      </c>
      <c r="AX12" s="28">
        <v>4</v>
      </c>
      <c r="AY12" s="29">
        <f>AW12*AX12</f>
        <v>36</v>
      </c>
      <c r="AZ12" s="22">
        <f>'[10]8th Subject'!$C105</f>
        <v>31</v>
      </c>
      <c r="BA12" s="22">
        <f>'[10]8th Subject'!$D105</f>
        <v>45</v>
      </c>
      <c r="BB12" s="27">
        <f>BA12+AZ12</f>
        <v>76</v>
      </c>
      <c r="BC12" s="18" t="str">
        <f>IF(BB12&lt;50,"F",IF(BB12&lt;=54.99,"P",IF(BB12&lt;=59.99,"C",IF(BB12&lt;=64.99,"B",IF(BB12&lt;=69.99,"B+",IF(BB12&lt;=74.99,"A",IF(BB12&lt;=79.99,"A+","O")))))))</f>
        <v>A+</v>
      </c>
      <c r="BD12" s="18" t="str">
        <f>IF(BB12&lt;50,"0",IF(BB12&lt;=54.99,"4",IF(BB12&lt;=59.99,"5",IF(BB12&lt;=64.99,"6",IF(BB12&lt;=69.99,"7",IF(BB12&lt;=74.99,"8",IF(BB12&lt;=79.99,"9","10")))))))</f>
        <v>9</v>
      </c>
      <c r="BE12" s="28">
        <v>4</v>
      </c>
      <c r="BF12" s="29">
        <f>BD12*BE12</f>
        <v>36</v>
      </c>
      <c r="BG12" s="27">
        <f>AZ12+AS12+AE12+X12+J12+C12+Q12+AL12</f>
        <v>248</v>
      </c>
      <c r="BH12" s="27">
        <f>BA12+AT12+AF12+Y12+K12+D12+R12+AM12</f>
        <v>360</v>
      </c>
      <c r="BI12" s="27">
        <f>BH12+BG12</f>
        <v>608</v>
      </c>
      <c r="BJ12" s="30">
        <f>G12+N12+U12+AB12+AI12+AP12+BD12+AW12</f>
        <v>72</v>
      </c>
      <c r="BK12" s="30">
        <f>I12+P12+W12+AD12+AK12+AY12+BF12+AR12</f>
        <v>288</v>
      </c>
      <c r="BL12" s="25">
        <f>(BN12-0.75)*10</f>
        <v>82.5</v>
      </c>
      <c r="BM12" s="17" t="str">
        <f>IF(OR(C12&lt;20,D12&lt;30,J12&lt;20,K12&lt;30,Q12&lt;20,R12&lt;30,X12&lt;20,Y12&lt;30,AE12&lt;20,AF12&lt;30,AL12&lt;20,AM12&lt;30,AS12&lt;20,AT12&lt;30,AZ12&lt;20,BA12&lt;30),"Unsuccessful","Successful")</f>
        <v>Successful</v>
      </c>
      <c r="BN12" s="31">
        <f>BK12/32</f>
        <v>9</v>
      </c>
      <c r="BO12" s="18" t="str">
        <f>IF(BN12&lt;=4,"F",IF(BN12&lt;=4.5,"P",IF(BN12&lt;=5.5,"C",IF(BN12&lt;=6.5,"B",IF(BN12&lt;=7.5,"B+",IF(BN12&lt;=8.5,"A",IF(BN12&lt;=9.5,"A+","O")))))))</f>
        <v>A+</v>
      </c>
      <c r="BP12" s="14" t="str">
        <f>IF(BN12&lt;=4,"50",IF(BN12&lt;=4.5,"50-54.99",IF(BN12&lt;=5.5,"55-59.99",IF(BN12&lt;=6.5,"60-64.99",IF(BN12&lt;=7.5,"65-69.99",IF(BN12&lt;=8.5,"70-74.99",IF(BN12&lt;=9.5,"75-79.99","10")))))))</f>
        <v>75-79.99</v>
      </c>
      <c r="BS12">
        <f>RANK(BN12,$BN$3:$BN$135)</f>
        <v>2</v>
      </c>
    </row>
    <row r="13" spans="1:71" x14ac:dyDescent="0.25">
      <c r="A13" s="14" t="str">
        <f>[2]Sheet1!$A115</f>
        <v>MMS18-20/114</v>
      </c>
      <c r="B13" s="15" t="str">
        <f>[2]Sheet1!$B115</f>
        <v>/VICHARE SAMRUDHI SANJAY VAIBHAVI</v>
      </c>
      <c r="C13" s="16">
        <f>'[3]1st Subject'!$C116</f>
        <v>31</v>
      </c>
      <c r="D13" s="16">
        <f>'[3]1st Subject'!$D116</f>
        <v>45</v>
      </c>
      <c r="E13" s="27">
        <f>D13+C13</f>
        <v>76</v>
      </c>
      <c r="F13" s="18" t="str">
        <f>IF(E13&lt;50,"F",IF(E13&lt;=54.99,"P",IF(E13&lt;=59.99,"C",IF(E13&lt;=64.99,"B",IF(E13&lt;=69.99,"B+",IF(E13&lt;=74.99,"A",IF(E13&lt;=79.99,"A+","O")))))))</f>
        <v>A+</v>
      </c>
      <c r="G13" s="18" t="str">
        <f>IF(E13&lt;50,"0",IF(E13&lt;=54.99,"4",IF(E13&lt;=59.99,"5",IF(E13&lt;=64.99,"6",IF(E13&lt;=69.99,"7",IF(E13&lt;=74.99,"8",IF(E13&lt;=79.99,"9","10")))))))</f>
        <v>9</v>
      </c>
      <c r="H13" s="28">
        <v>4</v>
      </c>
      <c r="I13" s="29">
        <f>G13*H13</f>
        <v>36</v>
      </c>
      <c r="J13" s="16">
        <f>'[4]2nd Subject'!$C116</f>
        <v>31</v>
      </c>
      <c r="K13" s="16">
        <f>'[4]2nd Subject'!$D116</f>
        <v>45</v>
      </c>
      <c r="L13" s="27">
        <f>K13+J13</f>
        <v>76</v>
      </c>
      <c r="M13" s="18" t="str">
        <f>IF(L13&lt;50,"F",IF(L13&lt;=54.99,"P",IF(L13&lt;=59.99,"C",IF(L13&lt;=64.99,"B",IF(L13&lt;=69.99,"B+",IF(L13&lt;=74.99,"A",IF(L13&lt;=79.99,"A+","O")))))))</f>
        <v>A+</v>
      </c>
      <c r="N13" s="18" t="str">
        <f>IF(L13&lt;50,"0",IF(L13&lt;=54.99,"4",IF(L13&lt;=59.99,"5",IF(L13&lt;=64.99,"6",IF(L13&lt;=69.99,"7",IF(L13&lt;=74.99,"8",IF(L13&lt;=79.99,"9","10")))))))</f>
        <v>9</v>
      </c>
      <c r="O13" s="28">
        <v>4</v>
      </c>
      <c r="P13" s="29">
        <f>N13*O13</f>
        <v>36</v>
      </c>
      <c r="Q13" s="21">
        <f>'[5]3rd Subject'!$C116</f>
        <v>31</v>
      </c>
      <c r="R13" s="21">
        <f>'[5]3rd Subject'!$D116</f>
        <v>45</v>
      </c>
      <c r="S13" s="27">
        <f>R13+Q13</f>
        <v>76</v>
      </c>
      <c r="T13" s="18" t="str">
        <f>IF(S13&lt;50,"F",IF(S13&lt;=54.99,"P",IF(S13&lt;=59.99,"C",IF(S13&lt;=64.99,"B",IF(S13&lt;=69.99,"B+",IF(S13&lt;=74.99,"A",IF(S13&lt;=79.99,"A+","O")))))))</f>
        <v>A+</v>
      </c>
      <c r="U13" s="18" t="str">
        <f>IF(S13&lt;50,"0",IF(S13&lt;=54.99,"4",IF(S13&lt;=59.99,"5",IF(S13&lt;=64.99,"6",IF(S13&lt;=69.99,"7",IF(S13&lt;=74.99,"8",IF(S13&lt;=79.99,"9","10")))))))</f>
        <v>9</v>
      </c>
      <c r="V13" s="28">
        <v>4</v>
      </c>
      <c r="W13" s="29">
        <f>U13*V13</f>
        <v>36</v>
      </c>
      <c r="X13" s="22">
        <f>'[6]4th Subject'!$C116</f>
        <v>31</v>
      </c>
      <c r="Y13" s="23">
        <f>'[6]4th Subject'!$D116</f>
        <v>45</v>
      </c>
      <c r="Z13" s="27">
        <f>Y13+X13</f>
        <v>76</v>
      </c>
      <c r="AA13" s="18" t="str">
        <f>IF(Z13&lt;50,"F",IF(Z13&lt;=54.99,"P",IF(Z13&lt;=59.99,"C",IF(Z13&lt;=64.99,"B",IF(Z13&lt;=69.99,"B+",IF(Z13&lt;=74.99,"A",IF(Z13&lt;=79.99,"A+","O")))))))</f>
        <v>A+</v>
      </c>
      <c r="AB13" s="18" t="str">
        <f>IF(Z13&lt;50,"0",IF(Z13&lt;=54.99,"4",IF(Z13&lt;=59.99,"5",IF(Z13&lt;=64.99,"6",IF(Z13&lt;=69.99,"7",IF(Z13&lt;=74.99,"8",IF(Z13&lt;=79.99,"9","10")))))))</f>
        <v>9</v>
      </c>
      <c r="AC13" s="28">
        <v>4</v>
      </c>
      <c r="AD13" s="29">
        <f>AB13*AC13</f>
        <v>36</v>
      </c>
      <c r="AE13" s="22">
        <f>'[7]5th Subject'!$C116</f>
        <v>31</v>
      </c>
      <c r="AF13" s="23">
        <f>'[7]5th Subject'!$D116</f>
        <v>45</v>
      </c>
      <c r="AG13" s="27">
        <f>AF13+AE13</f>
        <v>76</v>
      </c>
      <c r="AH13" s="18" t="str">
        <f>IF(AG13&lt;50,"F",IF(AG13&lt;=54.99,"P",IF(AG13&lt;=59.99,"C",IF(AG13&lt;=64.99,"B",IF(AG13&lt;=69.99,"B+",IF(AG13&lt;=74.99,"A",IF(AG13&lt;=79.99,"A+","O")))))))</f>
        <v>A+</v>
      </c>
      <c r="AI13" s="18" t="str">
        <f>IF(AG13&lt;50,"0",IF(AG13&lt;=54.99,"4",IF(AG13&lt;=59.99,"5",IF(AG13&lt;=64.99,"6",IF(AG13&lt;=69.99,"7",IF(AG13&lt;=74.99,"8",IF(AG13&lt;=79.99,"9","10")))))))</f>
        <v>9</v>
      </c>
      <c r="AJ13" s="28">
        <v>4</v>
      </c>
      <c r="AK13" s="29">
        <f>AI13*AJ13</f>
        <v>36</v>
      </c>
      <c r="AL13" s="22">
        <f>'[8]6th Subject'!$C116</f>
        <v>31</v>
      </c>
      <c r="AM13" s="22">
        <f>'[8]6th Subject'!$D116</f>
        <v>45</v>
      </c>
      <c r="AN13" s="27">
        <f>AM13+AL13</f>
        <v>76</v>
      </c>
      <c r="AO13" s="18" t="str">
        <f>IF(AN13&lt;50,"F",IF(AN13&lt;=54.99,"P",IF(AN13&lt;=59.99,"C",IF(AN13&lt;=64.99,"B",IF(AN13&lt;=69.99,"B+",IF(AN13&lt;=74.99,"A",IF(AN13&lt;=79.99,"A+","O")))))))</f>
        <v>A+</v>
      </c>
      <c r="AP13" s="18" t="str">
        <f>IF(AN13&lt;50,"0",IF(AN13&lt;=54.99,"4",IF(AN13&lt;=59.99,"5",IF(AN13&lt;=64.99,"6",IF(AN13&lt;=69.99,"7",IF(AN13&lt;=74.99,"8",IF(AN13&lt;=79.99,"9","10")))))))</f>
        <v>9</v>
      </c>
      <c r="AQ13" s="28">
        <v>4</v>
      </c>
      <c r="AR13" s="29">
        <f>AP13*AQ13</f>
        <v>36</v>
      </c>
      <c r="AS13" s="16">
        <f>'[9]7th Subject'!$C116</f>
        <v>31</v>
      </c>
      <c r="AT13" s="16">
        <f>'[9]7th Subject'!$D116</f>
        <v>45</v>
      </c>
      <c r="AU13" s="27">
        <f>AT13+AS13</f>
        <v>76</v>
      </c>
      <c r="AV13" s="18" t="str">
        <f>IF(AU13&lt;50,"F",IF(AU13&lt;=54.99,"P",IF(AU13&lt;=59.99,"C",IF(AU13&lt;=64.99,"B",IF(AU13&lt;=69.99,"B+",IF(AU13&lt;=74.99,"A",IF(AU13&lt;=79.99,"A+","O")))))))</f>
        <v>A+</v>
      </c>
      <c r="AW13" s="18" t="str">
        <f>IF(AU13&lt;50,"0",IF(AU13&lt;=54.99,"4",IF(AU13&lt;=59.99,"5",IF(AU13&lt;=64.99,"6",IF(AU13&lt;=69.99,"7",IF(AU13&lt;=74.99,"8",IF(AU13&lt;=79.99,"9","10")))))))</f>
        <v>9</v>
      </c>
      <c r="AX13" s="28">
        <v>4</v>
      </c>
      <c r="AY13" s="29">
        <f>AW13*AX13</f>
        <v>36</v>
      </c>
      <c r="AZ13" s="22">
        <f>'[10]8th Subject'!$C116</f>
        <v>31</v>
      </c>
      <c r="BA13" s="22">
        <f>'[10]8th Subject'!$D116</f>
        <v>45</v>
      </c>
      <c r="BB13" s="27">
        <f>BA13+AZ13</f>
        <v>76</v>
      </c>
      <c r="BC13" s="18" t="str">
        <f>IF(BB13&lt;50,"F",IF(BB13&lt;=54.99,"P",IF(BB13&lt;=59.99,"C",IF(BB13&lt;=64.99,"B",IF(BB13&lt;=69.99,"B+",IF(BB13&lt;=74.99,"A",IF(BB13&lt;=79.99,"A+","O")))))))</f>
        <v>A+</v>
      </c>
      <c r="BD13" s="18" t="str">
        <f>IF(BB13&lt;50,"0",IF(BB13&lt;=54.99,"4",IF(BB13&lt;=59.99,"5",IF(BB13&lt;=64.99,"6",IF(BB13&lt;=69.99,"7",IF(BB13&lt;=74.99,"8",IF(BB13&lt;=79.99,"9","10")))))))</f>
        <v>9</v>
      </c>
      <c r="BE13" s="28">
        <v>4</v>
      </c>
      <c r="BF13" s="29">
        <f>BD13*BE13</f>
        <v>36</v>
      </c>
      <c r="BG13" s="27">
        <f>AZ13+AS13+AE13+X13+J13+C13+Q13+AL13</f>
        <v>248</v>
      </c>
      <c r="BH13" s="27">
        <f>BA13+AT13+AF13+Y13+K13+D13+R13+AM13</f>
        <v>360</v>
      </c>
      <c r="BI13" s="27">
        <f>BH13+BG13</f>
        <v>608</v>
      </c>
      <c r="BJ13" s="30">
        <f>G13+N13+U13+AB13+AI13+AP13+BD13+AW13</f>
        <v>72</v>
      </c>
      <c r="BK13" s="30">
        <f>I13+P13+W13+AD13+AK13+AY13+BF13+AR13</f>
        <v>288</v>
      </c>
      <c r="BL13" s="25">
        <f>(BN13-0.75)*10</f>
        <v>82.5</v>
      </c>
      <c r="BM13" s="17" t="str">
        <f>IF(OR(C13&lt;20,D13&lt;30,J13&lt;20,K13&lt;30,Q13&lt;20,R13&lt;30,X13&lt;20,Y13&lt;30,AE13&lt;20,AF13&lt;30,AL13&lt;20,AM13&lt;30,AS13&lt;20,AT13&lt;30,AZ13&lt;20,BA13&lt;30),"Unsuccessful","Successful")</f>
        <v>Successful</v>
      </c>
      <c r="BN13" s="31">
        <f>BK13/32</f>
        <v>9</v>
      </c>
      <c r="BO13" s="18" t="str">
        <f>IF(BN13&lt;=4,"F",IF(BN13&lt;=4.5,"P",IF(BN13&lt;=5.5,"C",IF(BN13&lt;=6.5,"B",IF(BN13&lt;=7.5,"B+",IF(BN13&lt;=8.5,"A",IF(BN13&lt;=9.5,"A+","O")))))))</f>
        <v>A+</v>
      </c>
      <c r="BP13" s="14" t="str">
        <f>IF(BN13&lt;=4,"50",IF(BN13&lt;=4.5,"50-54.99",IF(BN13&lt;=5.5,"55-59.99",IF(BN13&lt;=6.5,"60-64.99",IF(BN13&lt;=7.5,"65-69.99",IF(BN13&lt;=8.5,"70-74.99",IF(BN13&lt;=9.5,"75-79.99","10")))))))</f>
        <v>75-79.99</v>
      </c>
      <c r="BS13">
        <f>RANK(BN13,$BN$3:$BN$135)</f>
        <v>2</v>
      </c>
    </row>
    <row r="14" spans="1:71" x14ac:dyDescent="0.25">
      <c r="A14" s="14" t="str">
        <f>[2]Sheet1!$A20</f>
        <v>MMS18-20/019</v>
      </c>
      <c r="B14" s="15" t="str">
        <f>[2]Sheet1!$B20</f>
        <v>CHAVAN SURAJ SURESH SUREKHA</v>
      </c>
      <c r="C14" s="16">
        <f>'[3]1st Subject'!$C21</f>
        <v>29</v>
      </c>
      <c r="D14" s="16">
        <f>'[3]1st Subject'!$D21</f>
        <v>46</v>
      </c>
      <c r="E14" s="27">
        <f>D14+C14</f>
        <v>75</v>
      </c>
      <c r="F14" s="18" t="str">
        <f>IF(E14&lt;50,"F",IF(E14&lt;=54.99,"P",IF(E14&lt;=59.99,"C",IF(E14&lt;=64.99,"B",IF(E14&lt;=69.99,"B+",IF(E14&lt;=74.99,"A",IF(E14&lt;=79.99,"A+","O")))))))</f>
        <v>A+</v>
      </c>
      <c r="G14" s="18" t="str">
        <f>IF(E14&lt;50,"0",IF(E14&lt;=54.99,"4",IF(E14&lt;=59.99,"5",IF(E14&lt;=64.99,"6",IF(E14&lt;=69.99,"7",IF(E14&lt;=74.99,"8",IF(E14&lt;=79.99,"9","10")))))))</f>
        <v>9</v>
      </c>
      <c r="H14" s="28">
        <v>4</v>
      </c>
      <c r="I14" s="29">
        <f>G14*H14</f>
        <v>36</v>
      </c>
      <c r="J14" s="16">
        <f>'[4]2nd Subject'!$C21</f>
        <v>29</v>
      </c>
      <c r="K14" s="16">
        <f>'[4]2nd Subject'!$D21</f>
        <v>46</v>
      </c>
      <c r="L14" s="27">
        <f>K14+J14</f>
        <v>75</v>
      </c>
      <c r="M14" s="18" t="str">
        <f>IF(L14&lt;50,"F",IF(L14&lt;=54.99,"P",IF(L14&lt;=59.99,"C",IF(L14&lt;=64.99,"B",IF(L14&lt;=69.99,"B+",IF(L14&lt;=74.99,"A",IF(L14&lt;=79.99,"A+","O")))))))</f>
        <v>A+</v>
      </c>
      <c r="N14" s="18" t="str">
        <f>IF(L14&lt;50,"0",IF(L14&lt;=54.99,"4",IF(L14&lt;=59.99,"5",IF(L14&lt;=64.99,"6",IF(L14&lt;=69.99,"7",IF(L14&lt;=74.99,"8",IF(L14&lt;=79.99,"9","10")))))))</f>
        <v>9</v>
      </c>
      <c r="O14" s="28">
        <v>4</v>
      </c>
      <c r="P14" s="29">
        <f>N14*O14</f>
        <v>36</v>
      </c>
      <c r="Q14" s="21">
        <f>'[5]3rd Subject'!$C21</f>
        <v>29</v>
      </c>
      <c r="R14" s="21">
        <f>'[5]3rd Subject'!$D21</f>
        <v>46</v>
      </c>
      <c r="S14" s="27">
        <f>R14+Q14</f>
        <v>75</v>
      </c>
      <c r="T14" s="18" t="str">
        <f>IF(S14&lt;50,"F",IF(S14&lt;=54.99,"P",IF(S14&lt;=59.99,"C",IF(S14&lt;=64.99,"B",IF(S14&lt;=69.99,"B+",IF(S14&lt;=74.99,"A",IF(S14&lt;=79.99,"A+","O")))))))</f>
        <v>A+</v>
      </c>
      <c r="U14" s="18" t="str">
        <f>IF(S14&lt;50,"0",IF(S14&lt;=54.99,"4",IF(S14&lt;=59.99,"5",IF(S14&lt;=64.99,"6",IF(S14&lt;=69.99,"7",IF(S14&lt;=74.99,"8",IF(S14&lt;=79.99,"9","10")))))))</f>
        <v>9</v>
      </c>
      <c r="V14" s="28">
        <v>4</v>
      </c>
      <c r="W14" s="29">
        <f>U14*V14</f>
        <v>36</v>
      </c>
      <c r="X14" s="22">
        <f>'[6]4th Subject'!$C21</f>
        <v>29</v>
      </c>
      <c r="Y14" s="23">
        <f>'[6]4th Subject'!$D21</f>
        <v>46</v>
      </c>
      <c r="Z14" s="27">
        <f>Y14+X14</f>
        <v>75</v>
      </c>
      <c r="AA14" s="18" t="str">
        <f>IF(Z14&lt;50,"F",IF(Z14&lt;=54.99,"P",IF(Z14&lt;=59.99,"C",IF(Z14&lt;=64.99,"B",IF(Z14&lt;=69.99,"B+",IF(Z14&lt;=74.99,"A",IF(Z14&lt;=79.99,"A+","O")))))))</f>
        <v>A+</v>
      </c>
      <c r="AB14" s="18" t="str">
        <f>IF(Z14&lt;50,"0",IF(Z14&lt;=54.99,"4",IF(Z14&lt;=59.99,"5",IF(Z14&lt;=64.99,"6",IF(Z14&lt;=69.99,"7",IF(Z14&lt;=74.99,"8",IF(Z14&lt;=79.99,"9","10")))))))</f>
        <v>9</v>
      </c>
      <c r="AC14" s="28">
        <v>4</v>
      </c>
      <c r="AD14" s="29">
        <f>AB14*AC14</f>
        <v>36</v>
      </c>
      <c r="AE14" s="22">
        <f>'[7]5th Subject'!$C21</f>
        <v>29</v>
      </c>
      <c r="AF14" s="23">
        <f>'[7]5th Subject'!$D21</f>
        <v>46</v>
      </c>
      <c r="AG14" s="27">
        <f>AF14+AE14</f>
        <v>75</v>
      </c>
      <c r="AH14" s="18" t="str">
        <f>IF(AG14&lt;50,"F",IF(AG14&lt;=54.99,"P",IF(AG14&lt;=59.99,"C",IF(AG14&lt;=64.99,"B",IF(AG14&lt;=69.99,"B+",IF(AG14&lt;=74.99,"A",IF(AG14&lt;=79.99,"A+","O")))))))</f>
        <v>A+</v>
      </c>
      <c r="AI14" s="18" t="str">
        <f>IF(AG14&lt;50,"0",IF(AG14&lt;=54.99,"4",IF(AG14&lt;=59.99,"5",IF(AG14&lt;=64.99,"6",IF(AG14&lt;=69.99,"7",IF(AG14&lt;=74.99,"8",IF(AG14&lt;=79.99,"9","10")))))))</f>
        <v>9</v>
      </c>
      <c r="AJ14" s="28">
        <v>4</v>
      </c>
      <c r="AK14" s="29">
        <f>AI14*AJ14</f>
        <v>36</v>
      </c>
      <c r="AL14" s="22">
        <f>'[8]6th Subject'!$C21</f>
        <v>29</v>
      </c>
      <c r="AM14" s="22">
        <f>'[8]6th Subject'!$D21</f>
        <v>46</v>
      </c>
      <c r="AN14" s="27">
        <f>AM14+AL14</f>
        <v>75</v>
      </c>
      <c r="AO14" s="18" t="str">
        <f>IF(AN14&lt;50,"F",IF(AN14&lt;=54.99,"P",IF(AN14&lt;=59.99,"C",IF(AN14&lt;=64.99,"B",IF(AN14&lt;=69.99,"B+",IF(AN14&lt;=74.99,"A",IF(AN14&lt;=79.99,"A+","O")))))))</f>
        <v>A+</v>
      </c>
      <c r="AP14" s="18" t="str">
        <f>IF(AN14&lt;50,"0",IF(AN14&lt;=54.99,"4",IF(AN14&lt;=59.99,"5",IF(AN14&lt;=64.99,"6",IF(AN14&lt;=69.99,"7",IF(AN14&lt;=74.99,"8",IF(AN14&lt;=79.99,"9","10")))))))</f>
        <v>9</v>
      </c>
      <c r="AQ14" s="28">
        <v>4</v>
      </c>
      <c r="AR14" s="29">
        <f>AP14*AQ14</f>
        <v>36</v>
      </c>
      <c r="AS14" s="16">
        <f>'[9]7th Subject'!$C21</f>
        <v>29</v>
      </c>
      <c r="AT14" s="16">
        <f>'[9]7th Subject'!$D21</f>
        <v>46</v>
      </c>
      <c r="AU14" s="27">
        <f>AT14+AS14</f>
        <v>75</v>
      </c>
      <c r="AV14" s="18" t="str">
        <f>IF(AU14&lt;50,"F",IF(AU14&lt;=54.99,"P",IF(AU14&lt;=59.99,"C",IF(AU14&lt;=64.99,"B",IF(AU14&lt;=69.99,"B+",IF(AU14&lt;=74.99,"A",IF(AU14&lt;=79.99,"A+","O")))))))</f>
        <v>A+</v>
      </c>
      <c r="AW14" s="18" t="str">
        <f>IF(AU14&lt;50,"0",IF(AU14&lt;=54.99,"4",IF(AU14&lt;=59.99,"5",IF(AU14&lt;=64.99,"6",IF(AU14&lt;=69.99,"7",IF(AU14&lt;=74.99,"8",IF(AU14&lt;=79.99,"9","10")))))))</f>
        <v>9</v>
      </c>
      <c r="AX14" s="28">
        <v>4</v>
      </c>
      <c r="AY14" s="29">
        <f>AW14*AX14</f>
        <v>36</v>
      </c>
      <c r="AZ14" s="22">
        <f>'[10]8th Subject'!$C21</f>
        <v>29</v>
      </c>
      <c r="BA14" s="22">
        <f>'[10]8th Subject'!$D21</f>
        <v>46</v>
      </c>
      <c r="BB14" s="27">
        <f>BA14+AZ14</f>
        <v>75</v>
      </c>
      <c r="BC14" s="18" t="str">
        <f>IF(BB14&lt;50,"F",IF(BB14&lt;=54.99,"P",IF(BB14&lt;=59.99,"C",IF(BB14&lt;=64.99,"B",IF(BB14&lt;=69.99,"B+",IF(BB14&lt;=74.99,"A",IF(BB14&lt;=79.99,"A+","O")))))))</f>
        <v>A+</v>
      </c>
      <c r="BD14" s="18" t="str">
        <f>IF(BB14&lt;50,"0",IF(BB14&lt;=54.99,"4",IF(BB14&lt;=59.99,"5",IF(BB14&lt;=64.99,"6",IF(BB14&lt;=69.99,"7",IF(BB14&lt;=74.99,"8",IF(BB14&lt;=79.99,"9","10")))))))</f>
        <v>9</v>
      </c>
      <c r="BE14" s="28">
        <v>4</v>
      </c>
      <c r="BF14" s="29">
        <f>BD14*BE14</f>
        <v>36</v>
      </c>
      <c r="BG14" s="27">
        <f>AZ14+AS14+AE14+X14+J14+C14+Q14+AL14</f>
        <v>232</v>
      </c>
      <c r="BH14" s="27">
        <f>BA14+AT14+AF14+Y14+K14+D14+R14+AM14</f>
        <v>368</v>
      </c>
      <c r="BI14" s="27">
        <f>BH14+BG14</f>
        <v>600</v>
      </c>
      <c r="BJ14" s="30">
        <f>G14+N14+U14+AB14+AI14+AP14+BD14+AW14</f>
        <v>72</v>
      </c>
      <c r="BK14" s="30">
        <f>I14+P14+W14+AD14+AK14+AY14+BF14+AR14</f>
        <v>288</v>
      </c>
      <c r="BL14" s="25">
        <f>(BN14-0.75)*10</f>
        <v>82.5</v>
      </c>
      <c r="BM14" s="17" t="str">
        <f>IF(OR(C14&lt;20,D14&lt;30,J14&lt;20,K14&lt;30,Q14&lt;20,R14&lt;30,X14&lt;20,Y14&lt;30,AE14&lt;20,AF14&lt;30,AL14&lt;20,AM14&lt;30,AS14&lt;20,AT14&lt;30,AZ14&lt;20,BA14&lt;30),"Unsuccessful","Successful")</f>
        <v>Successful</v>
      </c>
      <c r="BN14" s="31">
        <f>BK14/32</f>
        <v>9</v>
      </c>
      <c r="BO14" s="18" t="str">
        <f>IF(BN14&lt;=4,"F",IF(BN14&lt;=4.5,"P",IF(BN14&lt;=5.5,"C",IF(BN14&lt;=6.5,"B",IF(BN14&lt;=7.5,"B+",IF(BN14&lt;=8.5,"A",IF(BN14&lt;=9.5,"A+","O")))))))</f>
        <v>A+</v>
      </c>
      <c r="BP14" s="14" t="str">
        <f>IF(BN14&lt;=4,"50",IF(BN14&lt;=4.5,"50-54.99",IF(BN14&lt;=5.5,"55-59.99",IF(BN14&lt;=6.5,"60-64.99",IF(BN14&lt;=7.5,"65-69.99",IF(BN14&lt;=8.5,"70-74.99",IF(BN14&lt;=9.5,"75-79.99","10")))))))</f>
        <v>75-79.99</v>
      </c>
      <c r="BS14">
        <f>RANK(BN14,$BN$3:$BN$135)</f>
        <v>2</v>
      </c>
    </row>
    <row r="15" spans="1:71" x14ac:dyDescent="0.25">
      <c r="A15" s="14" t="str">
        <f>[2]Sheet1!$A31</f>
        <v>MMS18-20/030</v>
      </c>
      <c r="B15" s="15" t="str">
        <f>[2]Sheet1!$B31</f>
        <v>/GANGURDE SAKSHI SUDHIR ASHA</v>
      </c>
      <c r="C15" s="16">
        <f>'[3]1st Subject'!$C32</f>
        <v>29</v>
      </c>
      <c r="D15" s="16">
        <f>'[3]1st Subject'!$D32</f>
        <v>46</v>
      </c>
      <c r="E15" s="27">
        <f>D15+C15</f>
        <v>75</v>
      </c>
      <c r="F15" s="18" t="str">
        <f>IF(E15&lt;50,"F",IF(E15&lt;=54.99,"P",IF(E15&lt;=59.99,"C",IF(E15&lt;=64.99,"B",IF(E15&lt;=69.99,"B+",IF(E15&lt;=74.99,"A",IF(E15&lt;=79.99,"A+","O")))))))</f>
        <v>A+</v>
      </c>
      <c r="G15" s="18" t="str">
        <f>IF(E15&lt;50,"0",IF(E15&lt;=54.99,"4",IF(E15&lt;=59.99,"5",IF(E15&lt;=64.99,"6",IF(E15&lt;=69.99,"7",IF(E15&lt;=74.99,"8",IF(E15&lt;=79.99,"9","10")))))))</f>
        <v>9</v>
      </c>
      <c r="H15" s="28">
        <v>4</v>
      </c>
      <c r="I15" s="29">
        <f>G15*H15</f>
        <v>36</v>
      </c>
      <c r="J15" s="16">
        <f>'[4]2nd Subject'!$C32</f>
        <v>29</v>
      </c>
      <c r="K15" s="16">
        <f>'[4]2nd Subject'!$D32</f>
        <v>46</v>
      </c>
      <c r="L15" s="27">
        <f>K15+J15</f>
        <v>75</v>
      </c>
      <c r="M15" s="18" t="str">
        <f>IF(L15&lt;50,"F",IF(L15&lt;=54.99,"P",IF(L15&lt;=59.99,"C",IF(L15&lt;=64.99,"B",IF(L15&lt;=69.99,"B+",IF(L15&lt;=74.99,"A",IF(L15&lt;=79.99,"A+","O")))))))</f>
        <v>A+</v>
      </c>
      <c r="N15" s="18" t="str">
        <f>IF(L15&lt;50,"0",IF(L15&lt;=54.99,"4",IF(L15&lt;=59.99,"5",IF(L15&lt;=64.99,"6",IF(L15&lt;=69.99,"7",IF(L15&lt;=74.99,"8",IF(L15&lt;=79.99,"9","10")))))))</f>
        <v>9</v>
      </c>
      <c r="O15" s="28">
        <v>4</v>
      </c>
      <c r="P15" s="29">
        <f>N15*O15</f>
        <v>36</v>
      </c>
      <c r="Q15" s="21">
        <f>'[5]3rd Subject'!$C32</f>
        <v>29</v>
      </c>
      <c r="R15" s="21">
        <f>'[5]3rd Subject'!$D32</f>
        <v>46</v>
      </c>
      <c r="S15" s="27">
        <f>R15+Q15</f>
        <v>75</v>
      </c>
      <c r="T15" s="18" t="str">
        <f>IF(S15&lt;50,"F",IF(S15&lt;=54.99,"P",IF(S15&lt;=59.99,"C",IF(S15&lt;=64.99,"B",IF(S15&lt;=69.99,"B+",IF(S15&lt;=74.99,"A",IF(S15&lt;=79.99,"A+","O")))))))</f>
        <v>A+</v>
      </c>
      <c r="U15" s="18" t="str">
        <f>IF(S15&lt;50,"0",IF(S15&lt;=54.99,"4",IF(S15&lt;=59.99,"5",IF(S15&lt;=64.99,"6",IF(S15&lt;=69.99,"7",IF(S15&lt;=74.99,"8",IF(S15&lt;=79.99,"9","10")))))))</f>
        <v>9</v>
      </c>
      <c r="V15" s="28">
        <v>4</v>
      </c>
      <c r="W15" s="29">
        <f>U15*V15</f>
        <v>36</v>
      </c>
      <c r="X15" s="22">
        <f>'[6]4th Subject'!$C32</f>
        <v>29</v>
      </c>
      <c r="Y15" s="23">
        <f>'[6]4th Subject'!$D32</f>
        <v>46</v>
      </c>
      <c r="Z15" s="27">
        <f>Y15+X15</f>
        <v>75</v>
      </c>
      <c r="AA15" s="18" t="str">
        <f>IF(Z15&lt;50,"F",IF(Z15&lt;=54.99,"P",IF(Z15&lt;=59.99,"C",IF(Z15&lt;=64.99,"B",IF(Z15&lt;=69.99,"B+",IF(Z15&lt;=74.99,"A",IF(Z15&lt;=79.99,"A+","O")))))))</f>
        <v>A+</v>
      </c>
      <c r="AB15" s="18" t="str">
        <f>IF(Z15&lt;50,"0",IF(Z15&lt;=54.99,"4",IF(Z15&lt;=59.99,"5",IF(Z15&lt;=64.99,"6",IF(Z15&lt;=69.99,"7",IF(Z15&lt;=74.99,"8",IF(Z15&lt;=79.99,"9","10")))))))</f>
        <v>9</v>
      </c>
      <c r="AC15" s="28">
        <v>4</v>
      </c>
      <c r="AD15" s="29">
        <f>AB15*AC15</f>
        <v>36</v>
      </c>
      <c r="AE15" s="22">
        <f>'[7]5th Subject'!$C32</f>
        <v>29</v>
      </c>
      <c r="AF15" s="23">
        <f>'[7]5th Subject'!$D32</f>
        <v>46</v>
      </c>
      <c r="AG15" s="27">
        <f>AF15+AE15</f>
        <v>75</v>
      </c>
      <c r="AH15" s="18" t="str">
        <f>IF(AG15&lt;50,"F",IF(AG15&lt;=54.99,"P",IF(AG15&lt;=59.99,"C",IF(AG15&lt;=64.99,"B",IF(AG15&lt;=69.99,"B+",IF(AG15&lt;=74.99,"A",IF(AG15&lt;=79.99,"A+","O")))))))</f>
        <v>A+</v>
      </c>
      <c r="AI15" s="18" t="str">
        <f>IF(AG15&lt;50,"0",IF(AG15&lt;=54.99,"4",IF(AG15&lt;=59.99,"5",IF(AG15&lt;=64.99,"6",IF(AG15&lt;=69.99,"7",IF(AG15&lt;=74.99,"8",IF(AG15&lt;=79.99,"9","10")))))))</f>
        <v>9</v>
      </c>
      <c r="AJ15" s="28">
        <v>4</v>
      </c>
      <c r="AK15" s="29">
        <f>AI15*AJ15</f>
        <v>36</v>
      </c>
      <c r="AL15" s="22">
        <f>'[8]6th Subject'!$C32</f>
        <v>29</v>
      </c>
      <c r="AM15" s="22">
        <f>'[8]6th Subject'!$D32</f>
        <v>46</v>
      </c>
      <c r="AN15" s="27">
        <f>AM15+AL15</f>
        <v>75</v>
      </c>
      <c r="AO15" s="18" t="str">
        <f>IF(AN15&lt;50,"F",IF(AN15&lt;=54.99,"P",IF(AN15&lt;=59.99,"C",IF(AN15&lt;=64.99,"B",IF(AN15&lt;=69.99,"B+",IF(AN15&lt;=74.99,"A",IF(AN15&lt;=79.99,"A+","O")))))))</f>
        <v>A+</v>
      </c>
      <c r="AP15" s="18" t="str">
        <f>IF(AN15&lt;50,"0",IF(AN15&lt;=54.99,"4",IF(AN15&lt;=59.99,"5",IF(AN15&lt;=64.99,"6",IF(AN15&lt;=69.99,"7",IF(AN15&lt;=74.99,"8",IF(AN15&lt;=79.99,"9","10")))))))</f>
        <v>9</v>
      </c>
      <c r="AQ15" s="28">
        <v>4</v>
      </c>
      <c r="AR15" s="29">
        <f>AP15*AQ15</f>
        <v>36</v>
      </c>
      <c r="AS15" s="16">
        <f>'[9]7th Subject'!$C32</f>
        <v>29</v>
      </c>
      <c r="AT15" s="16">
        <f>'[9]7th Subject'!$D32</f>
        <v>46</v>
      </c>
      <c r="AU15" s="27">
        <f>AT15+AS15</f>
        <v>75</v>
      </c>
      <c r="AV15" s="18" t="str">
        <f>IF(AU15&lt;50,"F",IF(AU15&lt;=54.99,"P",IF(AU15&lt;=59.99,"C",IF(AU15&lt;=64.99,"B",IF(AU15&lt;=69.99,"B+",IF(AU15&lt;=74.99,"A",IF(AU15&lt;=79.99,"A+","O")))))))</f>
        <v>A+</v>
      </c>
      <c r="AW15" s="18" t="str">
        <f>IF(AU15&lt;50,"0",IF(AU15&lt;=54.99,"4",IF(AU15&lt;=59.99,"5",IF(AU15&lt;=64.99,"6",IF(AU15&lt;=69.99,"7",IF(AU15&lt;=74.99,"8",IF(AU15&lt;=79.99,"9","10")))))))</f>
        <v>9</v>
      </c>
      <c r="AX15" s="28">
        <v>4</v>
      </c>
      <c r="AY15" s="29">
        <f>AW15*AX15</f>
        <v>36</v>
      </c>
      <c r="AZ15" s="22">
        <f>'[10]8th Subject'!$C32</f>
        <v>29</v>
      </c>
      <c r="BA15" s="22">
        <f>'[10]8th Subject'!$D32</f>
        <v>46</v>
      </c>
      <c r="BB15" s="27">
        <f>BA15+AZ15</f>
        <v>75</v>
      </c>
      <c r="BC15" s="18" t="str">
        <f>IF(BB15&lt;50,"F",IF(BB15&lt;=54.99,"P",IF(BB15&lt;=59.99,"C",IF(BB15&lt;=64.99,"B",IF(BB15&lt;=69.99,"B+",IF(BB15&lt;=74.99,"A",IF(BB15&lt;=79.99,"A+","O")))))))</f>
        <v>A+</v>
      </c>
      <c r="BD15" s="18" t="str">
        <f>IF(BB15&lt;50,"0",IF(BB15&lt;=54.99,"4",IF(BB15&lt;=59.99,"5",IF(BB15&lt;=64.99,"6",IF(BB15&lt;=69.99,"7",IF(BB15&lt;=74.99,"8",IF(BB15&lt;=79.99,"9","10")))))))</f>
        <v>9</v>
      </c>
      <c r="BE15" s="28">
        <v>4</v>
      </c>
      <c r="BF15" s="29">
        <f>BD15*BE15</f>
        <v>36</v>
      </c>
      <c r="BG15" s="27">
        <f>AZ15+AS15+AE15+X15+J15+C15+Q15+AL15</f>
        <v>232</v>
      </c>
      <c r="BH15" s="27">
        <f>BA15+AT15+AF15+Y15+K15+D15+R15+AM15</f>
        <v>368</v>
      </c>
      <c r="BI15" s="27">
        <f>BH15+BG15</f>
        <v>600</v>
      </c>
      <c r="BJ15" s="30">
        <f>G15+N15+U15+AB15+AI15+AP15+BD15+AW15</f>
        <v>72</v>
      </c>
      <c r="BK15" s="30">
        <f>I15+P15+W15+AD15+AK15+AY15+BF15+AR15</f>
        <v>288</v>
      </c>
      <c r="BL15" s="25">
        <f>(BN15-0.75)*10</f>
        <v>82.5</v>
      </c>
      <c r="BM15" s="17" t="str">
        <f>IF(OR(C15&lt;20,D15&lt;30,J15&lt;20,K15&lt;30,Q15&lt;20,R15&lt;30,X15&lt;20,Y15&lt;30,AE15&lt;20,AF15&lt;30,AL15&lt;20,AM15&lt;30,AS15&lt;20,AT15&lt;30,AZ15&lt;20,BA15&lt;30),"Unsuccessful","Successful")</f>
        <v>Successful</v>
      </c>
      <c r="BN15" s="31">
        <f>BK15/32</f>
        <v>9</v>
      </c>
      <c r="BO15" s="18" t="str">
        <f>IF(BN15&lt;=4,"F",IF(BN15&lt;=4.5,"P",IF(BN15&lt;=5.5,"C",IF(BN15&lt;=6.5,"B",IF(BN15&lt;=7.5,"B+",IF(BN15&lt;=8.5,"A",IF(BN15&lt;=9.5,"A+","O")))))))</f>
        <v>A+</v>
      </c>
      <c r="BP15" s="14" t="str">
        <f>IF(BN15&lt;=4,"50",IF(BN15&lt;=4.5,"50-54.99",IF(BN15&lt;=5.5,"55-59.99",IF(BN15&lt;=6.5,"60-64.99",IF(BN15&lt;=7.5,"65-69.99",IF(BN15&lt;=8.5,"70-74.99",IF(BN15&lt;=9.5,"75-79.99","10")))))))</f>
        <v>75-79.99</v>
      </c>
      <c r="BS15">
        <f>RANK(BN15,$BN$3:$BN$135)</f>
        <v>2</v>
      </c>
    </row>
    <row r="16" spans="1:71" x14ac:dyDescent="0.25">
      <c r="A16" s="14" t="str">
        <f>[2]Sheet1!$A42</f>
        <v>MMS18-20/041</v>
      </c>
      <c r="B16" s="15" t="str">
        <f>[2]Sheet1!$B42</f>
        <v>KATARE MAYANK PRAMOD PRANITA</v>
      </c>
      <c r="C16" s="16">
        <f>'[3]1st Subject'!$C43</f>
        <v>29</v>
      </c>
      <c r="D16" s="16">
        <f>'[3]1st Subject'!$D43</f>
        <v>46</v>
      </c>
      <c r="E16" s="27">
        <f>D16+C16</f>
        <v>75</v>
      </c>
      <c r="F16" s="18" t="str">
        <f>IF(E16&lt;50,"F",IF(E16&lt;=54.99,"P",IF(E16&lt;=59.99,"C",IF(E16&lt;=64.99,"B",IF(E16&lt;=69.99,"B+",IF(E16&lt;=74.99,"A",IF(E16&lt;=79.99,"A+","O")))))))</f>
        <v>A+</v>
      </c>
      <c r="G16" s="18" t="str">
        <f>IF(E16&lt;50,"0",IF(E16&lt;=54.99,"4",IF(E16&lt;=59.99,"5",IF(E16&lt;=64.99,"6",IF(E16&lt;=69.99,"7",IF(E16&lt;=74.99,"8",IF(E16&lt;=79.99,"9","10")))))))</f>
        <v>9</v>
      </c>
      <c r="H16" s="28">
        <v>4</v>
      </c>
      <c r="I16" s="29">
        <f>G16*H16</f>
        <v>36</v>
      </c>
      <c r="J16" s="16">
        <f>'[4]2nd Subject'!$C43</f>
        <v>29</v>
      </c>
      <c r="K16" s="16">
        <f>'[4]2nd Subject'!$D43</f>
        <v>46</v>
      </c>
      <c r="L16" s="27">
        <f>K16+J16</f>
        <v>75</v>
      </c>
      <c r="M16" s="18" t="str">
        <f>IF(L16&lt;50,"F",IF(L16&lt;=54.99,"P",IF(L16&lt;=59.99,"C",IF(L16&lt;=64.99,"B",IF(L16&lt;=69.99,"B+",IF(L16&lt;=74.99,"A",IF(L16&lt;=79.99,"A+","O")))))))</f>
        <v>A+</v>
      </c>
      <c r="N16" s="18" t="str">
        <f>IF(L16&lt;50,"0",IF(L16&lt;=54.99,"4",IF(L16&lt;=59.99,"5",IF(L16&lt;=64.99,"6",IF(L16&lt;=69.99,"7",IF(L16&lt;=74.99,"8",IF(L16&lt;=79.99,"9","10")))))))</f>
        <v>9</v>
      </c>
      <c r="O16" s="28">
        <v>4</v>
      </c>
      <c r="P16" s="29">
        <f>N16*O16</f>
        <v>36</v>
      </c>
      <c r="Q16" s="21">
        <f>'[5]3rd Subject'!$C43</f>
        <v>29</v>
      </c>
      <c r="R16" s="21">
        <f>'[5]3rd Subject'!$D43</f>
        <v>46</v>
      </c>
      <c r="S16" s="27">
        <f>R16+Q16</f>
        <v>75</v>
      </c>
      <c r="T16" s="18" t="str">
        <f>IF(S16&lt;50,"F",IF(S16&lt;=54.99,"P",IF(S16&lt;=59.99,"C",IF(S16&lt;=64.99,"B",IF(S16&lt;=69.99,"B+",IF(S16&lt;=74.99,"A",IF(S16&lt;=79.99,"A+","O")))))))</f>
        <v>A+</v>
      </c>
      <c r="U16" s="18" t="str">
        <f>IF(S16&lt;50,"0",IF(S16&lt;=54.99,"4",IF(S16&lt;=59.99,"5",IF(S16&lt;=64.99,"6",IF(S16&lt;=69.99,"7",IF(S16&lt;=74.99,"8",IF(S16&lt;=79.99,"9","10")))))))</f>
        <v>9</v>
      </c>
      <c r="V16" s="28">
        <v>4</v>
      </c>
      <c r="W16" s="29">
        <f>U16*V16</f>
        <v>36</v>
      </c>
      <c r="X16" s="22">
        <f>'[6]4th Subject'!$C43</f>
        <v>29</v>
      </c>
      <c r="Y16" s="23">
        <f>'[6]4th Subject'!$D43</f>
        <v>46</v>
      </c>
      <c r="Z16" s="27">
        <f>Y16+X16</f>
        <v>75</v>
      </c>
      <c r="AA16" s="18" t="str">
        <f>IF(Z16&lt;50,"F",IF(Z16&lt;=54.99,"P",IF(Z16&lt;=59.99,"C",IF(Z16&lt;=64.99,"B",IF(Z16&lt;=69.99,"B+",IF(Z16&lt;=74.99,"A",IF(Z16&lt;=79.99,"A+","O")))))))</f>
        <v>A+</v>
      </c>
      <c r="AB16" s="18" t="str">
        <f>IF(Z16&lt;50,"0",IF(Z16&lt;=54.99,"4",IF(Z16&lt;=59.99,"5",IF(Z16&lt;=64.99,"6",IF(Z16&lt;=69.99,"7",IF(Z16&lt;=74.99,"8",IF(Z16&lt;=79.99,"9","10")))))))</f>
        <v>9</v>
      </c>
      <c r="AC16" s="28">
        <v>4</v>
      </c>
      <c r="AD16" s="29">
        <f>AB16*AC16</f>
        <v>36</v>
      </c>
      <c r="AE16" s="22">
        <f>'[7]5th Subject'!$C43</f>
        <v>29</v>
      </c>
      <c r="AF16" s="23">
        <f>'[7]5th Subject'!$D43</f>
        <v>46</v>
      </c>
      <c r="AG16" s="27">
        <f>AF16+AE16</f>
        <v>75</v>
      </c>
      <c r="AH16" s="18" t="str">
        <f>IF(AG16&lt;50,"F",IF(AG16&lt;=54.99,"P",IF(AG16&lt;=59.99,"C",IF(AG16&lt;=64.99,"B",IF(AG16&lt;=69.99,"B+",IF(AG16&lt;=74.99,"A",IF(AG16&lt;=79.99,"A+","O")))))))</f>
        <v>A+</v>
      </c>
      <c r="AI16" s="18" t="str">
        <f>IF(AG16&lt;50,"0",IF(AG16&lt;=54.99,"4",IF(AG16&lt;=59.99,"5",IF(AG16&lt;=64.99,"6",IF(AG16&lt;=69.99,"7",IF(AG16&lt;=74.99,"8",IF(AG16&lt;=79.99,"9","10")))))))</f>
        <v>9</v>
      </c>
      <c r="AJ16" s="28">
        <v>4</v>
      </c>
      <c r="AK16" s="29">
        <f>AI16*AJ16</f>
        <v>36</v>
      </c>
      <c r="AL16" s="22">
        <f>'[8]6th Subject'!$C43</f>
        <v>29</v>
      </c>
      <c r="AM16" s="22">
        <f>'[8]6th Subject'!$D43</f>
        <v>46</v>
      </c>
      <c r="AN16" s="27">
        <f>AM16+AL16</f>
        <v>75</v>
      </c>
      <c r="AO16" s="18" t="str">
        <f>IF(AN16&lt;50,"F",IF(AN16&lt;=54.99,"P",IF(AN16&lt;=59.99,"C",IF(AN16&lt;=64.99,"B",IF(AN16&lt;=69.99,"B+",IF(AN16&lt;=74.99,"A",IF(AN16&lt;=79.99,"A+","O")))))))</f>
        <v>A+</v>
      </c>
      <c r="AP16" s="18" t="str">
        <f>IF(AN16&lt;50,"0",IF(AN16&lt;=54.99,"4",IF(AN16&lt;=59.99,"5",IF(AN16&lt;=64.99,"6",IF(AN16&lt;=69.99,"7",IF(AN16&lt;=74.99,"8",IF(AN16&lt;=79.99,"9","10")))))))</f>
        <v>9</v>
      </c>
      <c r="AQ16" s="28">
        <v>4</v>
      </c>
      <c r="AR16" s="29">
        <f>AP16*AQ16</f>
        <v>36</v>
      </c>
      <c r="AS16" s="16">
        <f>'[9]7th Subject'!$C43</f>
        <v>29</v>
      </c>
      <c r="AT16" s="16">
        <f>'[9]7th Subject'!$D43</f>
        <v>46</v>
      </c>
      <c r="AU16" s="27">
        <f>AT16+AS16</f>
        <v>75</v>
      </c>
      <c r="AV16" s="18" t="str">
        <f>IF(AU16&lt;50,"F",IF(AU16&lt;=54.99,"P",IF(AU16&lt;=59.99,"C",IF(AU16&lt;=64.99,"B",IF(AU16&lt;=69.99,"B+",IF(AU16&lt;=74.99,"A",IF(AU16&lt;=79.99,"A+","O")))))))</f>
        <v>A+</v>
      </c>
      <c r="AW16" s="18" t="str">
        <f>IF(AU16&lt;50,"0",IF(AU16&lt;=54.99,"4",IF(AU16&lt;=59.99,"5",IF(AU16&lt;=64.99,"6",IF(AU16&lt;=69.99,"7",IF(AU16&lt;=74.99,"8",IF(AU16&lt;=79.99,"9","10")))))))</f>
        <v>9</v>
      </c>
      <c r="AX16" s="28">
        <v>4</v>
      </c>
      <c r="AY16" s="29">
        <f>AW16*AX16</f>
        <v>36</v>
      </c>
      <c r="AZ16" s="22">
        <f>'[10]8th Subject'!$C43</f>
        <v>29</v>
      </c>
      <c r="BA16" s="22">
        <f>'[10]8th Subject'!$D43</f>
        <v>46</v>
      </c>
      <c r="BB16" s="27">
        <f>BA16+AZ16</f>
        <v>75</v>
      </c>
      <c r="BC16" s="18" t="str">
        <f>IF(BB16&lt;50,"F",IF(BB16&lt;=54.99,"P",IF(BB16&lt;=59.99,"C",IF(BB16&lt;=64.99,"B",IF(BB16&lt;=69.99,"B+",IF(BB16&lt;=74.99,"A",IF(BB16&lt;=79.99,"A+","O")))))))</f>
        <v>A+</v>
      </c>
      <c r="BD16" s="18" t="str">
        <f>IF(BB16&lt;50,"0",IF(BB16&lt;=54.99,"4",IF(BB16&lt;=59.99,"5",IF(BB16&lt;=64.99,"6",IF(BB16&lt;=69.99,"7",IF(BB16&lt;=74.99,"8",IF(BB16&lt;=79.99,"9","10")))))))</f>
        <v>9</v>
      </c>
      <c r="BE16" s="28">
        <v>4</v>
      </c>
      <c r="BF16" s="29">
        <f>BD16*BE16</f>
        <v>36</v>
      </c>
      <c r="BG16" s="27">
        <f>AZ16+AS16+AE16+X16+J16+C16+Q16+AL16</f>
        <v>232</v>
      </c>
      <c r="BH16" s="27">
        <f>BA16+AT16+AF16+Y16+K16+D16+R16+AM16</f>
        <v>368</v>
      </c>
      <c r="BI16" s="27">
        <f>BH16+BG16</f>
        <v>600</v>
      </c>
      <c r="BJ16" s="30">
        <f>G16+N16+U16+AB16+AI16+AP16+BD16+AW16</f>
        <v>72</v>
      </c>
      <c r="BK16" s="30">
        <f>I16+P16+W16+AD16+AK16+AY16+BF16+AR16</f>
        <v>288</v>
      </c>
      <c r="BL16" s="25">
        <f>(BN16-0.75)*10</f>
        <v>82.5</v>
      </c>
      <c r="BM16" s="17" t="str">
        <f>IF(OR(C16&lt;20,D16&lt;30,J16&lt;20,K16&lt;30,Q16&lt;20,R16&lt;30,X16&lt;20,Y16&lt;30,AE16&lt;20,AF16&lt;30,AL16&lt;20,AM16&lt;30,AS16&lt;20,AT16&lt;30,AZ16&lt;20,BA16&lt;30),"Unsuccessful","Successful")</f>
        <v>Successful</v>
      </c>
      <c r="BN16" s="31">
        <f>BK16/32</f>
        <v>9</v>
      </c>
      <c r="BO16" s="18" t="str">
        <f>IF(BN16&lt;=4,"F",IF(BN16&lt;=4.5,"P",IF(BN16&lt;=5.5,"C",IF(BN16&lt;=6.5,"B",IF(BN16&lt;=7.5,"B+",IF(BN16&lt;=8.5,"A",IF(BN16&lt;=9.5,"A+","O")))))))</f>
        <v>A+</v>
      </c>
      <c r="BP16" s="14" t="str">
        <f>IF(BN16&lt;=4,"50",IF(BN16&lt;=4.5,"50-54.99",IF(BN16&lt;=5.5,"55-59.99",IF(BN16&lt;=6.5,"60-64.99",IF(BN16&lt;=7.5,"65-69.99",IF(BN16&lt;=8.5,"70-74.99",IF(BN16&lt;=9.5,"75-79.99","10")))))))</f>
        <v>75-79.99</v>
      </c>
      <c r="BS16">
        <f>RANK(BN16,$BN$3:$BN$135)</f>
        <v>2</v>
      </c>
    </row>
    <row r="17" spans="1:71" x14ac:dyDescent="0.25">
      <c r="A17" s="14" t="str">
        <f>[2]Sheet1!$A53</f>
        <v>MMS18-20/052</v>
      </c>
      <c r="B17" s="15" t="str">
        <f>[2]Sheet1!$B53</f>
        <v>MHATRE VARAD GURUNATH SUSHMA</v>
      </c>
      <c r="C17" s="16">
        <f>'[3]1st Subject'!$C54</f>
        <v>29</v>
      </c>
      <c r="D17" s="16">
        <f>'[3]1st Subject'!$D54</f>
        <v>46</v>
      </c>
      <c r="E17" s="27">
        <f>D17+C17</f>
        <v>75</v>
      </c>
      <c r="F17" s="18" t="str">
        <f>IF(E17&lt;50,"F",IF(E17&lt;=54.99,"P",IF(E17&lt;=59.99,"C",IF(E17&lt;=64.99,"B",IF(E17&lt;=69.99,"B+",IF(E17&lt;=74.99,"A",IF(E17&lt;=79.99,"A+","O")))))))</f>
        <v>A+</v>
      </c>
      <c r="G17" s="18" t="str">
        <f>IF(E17&lt;50,"0",IF(E17&lt;=54.99,"4",IF(E17&lt;=59.99,"5",IF(E17&lt;=64.99,"6",IF(E17&lt;=69.99,"7",IF(E17&lt;=74.99,"8",IF(E17&lt;=79.99,"9","10")))))))</f>
        <v>9</v>
      </c>
      <c r="H17" s="28">
        <v>4</v>
      </c>
      <c r="I17" s="29">
        <f>G17*H17</f>
        <v>36</v>
      </c>
      <c r="J17" s="16">
        <f>'[4]2nd Subject'!$C54</f>
        <v>29</v>
      </c>
      <c r="K17" s="16">
        <f>'[4]2nd Subject'!$D54</f>
        <v>46</v>
      </c>
      <c r="L17" s="27">
        <f>K17+J17</f>
        <v>75</v>
      </c>
      <c r="M17" s="18" t="str">
        <f>IF(L17&lt;50,"F",IF(L17&lt;=54.99,"P",IF(L17&lt;=59.99,"C",IF(L17&lt;=64.99,"B",IF(L17&lt;=69.99,"B+",IF(L17&lt;=74.99,"A",IF(L17&lt;=79.99,"A+","O")))))))</f>
        <v>A+</v>
      </c>
      <c r="N17" s="18" t="str">
        <f>IF(L17&lt;50,"0",IF(L17&lt;=54.99,"4",IF(L17&lt;=59.99,"5",IF(L17&lt;=64.99,"6",IF(L17&lt;=69.99,"7",IF(L17&lt;=74.99,"8",IF(L17&lt;=79.99,"9","10")))))))</f>
        <v>9</v>
      </c>
      <c r="O17" s="28">
        <v>4</v>
      </c>
      <c r="P17" s="29">
        <f>N17*O17</f>
        <v>36</v>
      </c>
      <c r="Q17" s="21">
        <f>'[5]3rd Subject'!$C54</f>
        <v>29</v>
      </c>
      <c r="R17" s="21">
        <f>'[5]3rd Subject'!$D54</f>
        <v>46</v>
      </c>
      <c r="S17" s="27">
        <f>R17+Q17</f>
        <v>75</v>
      </c>
      <c r="T17" s="18" t="str">
        <f>IF(S17&lt;50,"F",IF(S17&lt;=54.99,"P",IF(S17&lt;=59.99,"C",IF(S17&lt;=64.99,"B",IF(S17&lt;=69.99,"B+",IF(S17&lt;=74.99,"A",IF(S17&lt;=79.99,"A+","O")))))))</f>
        <v>A+</v>
      </c>
      <c r="U17" s="18" t="str">
        <f>IF(S17&lt;50,"0",IF(S17&lt;=54.99,"4",IF(S17&lt;=59.99,"5",IF(S17&lt;=64.99,"6",IF(S17&lt;=69.99,"7",IF(S17&lt;=74.99,"8",IF(S17&lt;=79.99,"9","10")))))))</f>
        <v>9</v>
      </c>
      <c r="V17" s="28">
        <v>4</v>
      </c>
      <c r="W17" s="29">
        <f>U17*V17</f>
        <v>36</v>
      </c>
      <c r="X17" s="22">
        <f>'[6]4th Subject'!$C54</f>
        <v>29</v>
      </c>
      <c r="Y17" s="23">
        <f>'[6]4th Subject'!$D54</f>
        <v>46</v>
      </c>
      <c r="Z17" s="27">
        <f>Y17+X17</f>
        <v>75</v>
      </c>
      <c r="AA17" s="18" t="str">
        <f>IF(Z17&lt;50,"F",IF(Z17&lt;=54.99,"P",IF(Z17&lt;=59.99,"C",IF(Z17&lt;=64.99,"B",IF(Z17&lt;=69.99,"B+",IF(Z17&lt;=74.99,"A",IF(Z17&lt;=79.99,"A+","O")))))))</f>
        <v>A+</v>
      </c>
      <c r="AB17" s="18" t="str">
        <f>IF(Z17&lt;50,"0",IF(Z17&lt;=54.99,"4",IF(Z17&lt;=59.99,"5",IF(Z17&lt;=64.99,"6",IF(Z17&lt;=69.99,"7",IF(Z17&lt;=74.99,"8",IF(Z17&lt;=79.99,"9","10")))))))</f>
        <v>9</v>
      </c>
      <c r="AC17" s="28">
        <v>4</v>
      </c>
      <c r="AD17" s="29">
        <f>AB17*AC17</f>
        <v>36</v>
      </c>
      <c r="AE17" s="22">
        <f>'[7]5th Subject'!$C54</f>
        <v>29</v>
      </c>
      <c r="AF17" s="23">
        <f>'[7]5th Subject'!$D54</f>
        <v>46</v>
      </c>
      <c r="AG17" s="27">
        <f>AF17+AE17</f>
        <v>75</v>
      </c>
      <c r="AH17" s="18" t="str">
        <f>IF(AG17&lt;50,"F",IF(AG17&lt;=54.99,"P",IF(AG17&lt;=59.99,"C",IF(AG17&lt;=64.99,"B",IF(AG17&lt;=69.99,"B+",IF(AG17&lt;=74.99,"A",IF(AG17&lt;=79.99,"A+","O")))))))</f>
        <v>A+</v>
      </c>
      <c r="AI17" s="18" t="str">
        <f>IF(AG17&lt;50,"0",IF(AG17&lt;=54.99,"4",IF(AG17&lt;=59.99,"5",IF(AG17&lt;=64.99,"6",IF(AG17&lt;=69.99,"7",IF(AG17&lt;=74.99,"8",IF(AG17&lt;=79.99,"9","10")))))))</f>
        <v>9</v>
      </c>
      <c r="AJ17" s="28">
        <v>4</v>
      </c>
      <c r="AK17" s="29">
        <f>AI17*AJ17</f>
        <v>36</v>
      </c>
      <c r="AL17" s="22">
        <f>'[8]6th Subject'!$C54</f>
        <v>29</v>
      </c>
      <c r="AM17" s="22">
        <f>'[8]6th Subject'!$D54</f>
        <v>46</v>
      </c>
      <c r="AN17" s="27">
        <f>AM17+AL17</f>
        <v>75</v>
      </c>
      <c r="AO17" s="18" t="str">
        <f>IF(AN17&lt;50,"F",IF(AN17&lt;=54.99,"P",IF(AN17&lt;=59.99,"C",IF(AN17&lt;=64.99,"B",IF(AN17&lt;=69.99,"B+",IF(AN17&lt;=74.99,"A",IF(AN17&lt;=79.99,"A+","O")))))))</f>
        <v>A+</v>
      </c>
      <c r="AP17" s="18" t="str">
        <f>IF(AN17&lt;50,"0",IF(AN17&lt;=54.99,"4",IF(AN17&lt;=59.99,"5",IF(AN17&lt;=64.99,"6",IF(AN17&lt;=69.99,"7",IF(AN17&lt;=74.99,"8",IF(AN17&lt;=79.99,"9","10")))))))</f>
        <v>9</v>
      </c>
      <c r="AQ17" s="28">
        <v>4</v>
      </c>
      <c r="AR17" s="29">
        <f>AP17*AQ17</f>
        <v>36</v>
      </c>
      <c r="AS17" s="16">
        <f>'[9]7th Subject'!$C54</f>
        <v>29</v>
      </c>
      <c r="AT17" s="16">
        <f>'[9]7th Subject'!$D54</f>
        <v>46</v>
      </c>
      <c r="AU17" s="27">
        <f>AT17+AS17</f>
        <v>75</v>
      </c>
      <c r="AV17" s="18" t="str">
        <f>IF(AU17&lt;50,"F",IF(AU17&lt;=54.99,"P",IF(AU17&lt;=59.99,"C",IF(AU17&lt;=64.99,"B",IF(AU17&lt;=69.99,"B+",IF(AU17&lt;=74.99,"A",IF(AU17&lt;=79.99,"A+","O")))))))</f>
        <v>A+</v>
      </c>
      <c r="AW17" s="18" t="str">
        <f>IF(AU17&lt;50,"0",IF(AU17&lt;=54.99,"4",IF(AU17&lt;=59.99,"5",IF(AU17&lt;=64.99,"6",IF(AU17&lt;=69.99,"7",IF(AU17&lt;=74.99,"8",IF(AU17&lt;=79.99,"9","10")))))))</f>
        <v>9</v>
      </c>
      <c r="AX17" s="28">
        <v>4</v>
      </c>
      <c r="AY17" s="29">
        <f>AW17*AX17</f>
        <v>36</v>
      </c>
      <c r="AZ17" s="22">
        <f>'[10]8th Subject'!$C54</f>
        <v>29</v>
      </c>
      <c r="BA17" s="22">
        <f>'[10]8th Subject'!$D54</f>
        <v>46</v>
      </c>
      <c r="BB17" s="27">
        <f>BA17+AZ17</f>
        <v>75</v>
      </c>
      <c r="BC17" s="18" t="str">
        <f>IF(BB17&lt;50,"F",IF(BB17&lt;=54.99,"P",IF(BB17&lt;=59.99,"C",IF(BB17&lt;=64.99,"B",IF(BB17&lt;=69.99,"B+",IF(BB17&lt;=74.99,"A",IF(BB17&lt;=79.99,"A+","O")))))))</f>
        <v>A+</v>
      </c>
      <c r="BD17" s="18" t="str">
        <f>IF(BB17&lt;50,"0",IF(BB17&lt;=54.99,"4",IF(BB17&lt;=59.99,"5",IF(BB17&lt;=64.99,"6",IF(BB17&lt;=69.99,"7",IF(BB17&lt;=74.99,"8",IF(BB17&lt;=79.99,"9","10")))))))</f>
        <v>9</v>
      </c>
      <c r="BE17" s="28">
        <v>4</v>
      </c>
      <c r="BF17" s="29">
        <f>BD17*BE17</f>
        <v>36</v>
      </c>
      <c r="BG17" s="27">
        <f>AZ17+AS17+AE17+X17+J17+C17+Q17+AL17</f>
        <v>232</v>
      </c>
      <c r="BH17" s="27">
        <f>BA17+AT17+AF17+Y17+K17+D17+R17+AM17</f>
        <v>368</v>
      </c>
      <c r="BI17" s="27">
        <f>BH17+BG17</f>
        <v>600</v>
      </c>
      <c r="BJ17" s="30">
        <f>G17+N17+U17+AB17+AI17+AP17+BD17+AW17</f>
        <v>72</v>
      </c>
      <c r="BK17" s="30">
        <f>I17+P17+W17+AD17+AK17+AY17+BF17+AR17</f>
        <v>288</v>
      </c>
      <c r="BL17" s="25">
        <f>(BN17-0.75)*10</f>
        <v>82.5</v>
      </c>
      <c r="BM17" s="17" t="str">
        <f>IF(OR(C17&lt;20,D17&lt;30,J17&lt;20,K17&lt;30,Q17&lt;20,R17&lt;30,X17&lt;20,Y17&lt;30,AE17&lt;20,AF17&lt;30,AL17&lt;20,AM17&lt;30,AS17&lt;20,AT17&lt;30,AZ17&lt;20,BA17&lt;30),"Unsuccessful","Successful")</f>
        <v>Successful</v>
      </c>
      <c r="BN17" s="31">
        <f>BK17/32</f>
        <v>9</v>
      </c>
      <c r="BO17" s="18" t="str">
        <f>IF(BN17&lt;=4,"F",IF(BN17&lt;=4.5,"P",IF(BN17&lt;=5.5,"C",IF(BN17&lt;=6.5,"B",IF(BN17&lt;=7.5,"B+",IF(BN17&lt;=8.5,"A",IF(BN17&lt;=9.5,"A+","O")))))))</f>
        <v>A+</v>
      </c>
      <c r="BP17" s="14" t="str">
        <f>IF(BN17&lt;=4,"50",IF(BN17&lt;=4.5,"50-54.99",IF(BN17&lt;=5.5,"55-59.99",IF(BN17&lt;=6.5,"60-64.99",IF(BN17&lt;=7.5,"65-69.99",IF(BN17&lt;=8.5,"70-74.99",IF(BN17&lt;=9.5,"75-79.99","10")))))))</f>
        <v>75-79.99</v>
      </c>
      <c r="BS17">
        <f>RANK(BN17,$BN$3:$BN$135)</f>
        <v>2</v>
      </c>
    </row>
    <row r="18" spans="1:71" x14ac:dyDescent="0.25">
      <c r="A18" s="14" t="str">
        <f>[2]Sheet1!$A64</f>
        <v>MMS18-20/063</v>
      </c>
      <c r="B18" s="15" t="str">
        <f>[2]Sheet1!$B64</f>
        <v>CHILE VARAD KISHOR NEHA</v>
      </c>
      <c r="C18" s="16">
        <f>'[3]1st Subject'!$C65</f>
        <v>29</v>
      </c>
      <c r="D18" s="16">
        <f>'[3]1st Subject'!$D65</f>
        <v>46</v>
      </c>
      <c r="E18" s="27">
        <f>D18+C18</f>
        <v>75</v>
      </c>
      <c r="F18" s="18" t="str">
        <f>IF(E18&lt;50,"F",IF(E18&lt;=54.99,"P",IF(E18&lt;=59.99,"C",IF(E18&lt;=64.99,"B",IF(E18&lt;=69.99,"B+",IF(E18&lt;=74.99,"A",IF(E18&lt;=79.99,"A+","O")))))))</f>
        <v>A+</v>
      </c>
      <c r="G18" s="18" t="str">
        <f>IF(E18&lt;50,"0",IF(E18&lt;=54.99,"4",IF(E18&lt;=59.99,"5",IF(E18&lt;=64.99,"6",IF(E18&lt;=69.99,"7",IF(E18&lt;=74.99,"8",IF(E18&lt;=79.99,"9","10")))))))</f>
        <v>9</v>
      </c>
      <c r="H18" s="28">
        <v>4</v>
      </c>
      <c r="I18" s="29">
        <f>G18*H18</f>
        <v>36</v>
      </c>
      <c r="J18" s="16">
        <f>'[4]2nd Subject'!$C65</f>
        <v>29</v>
      </c>
      <c r="K18" s="16">
        <f>'[4]2nd Subject'!$D65</f>
        <v>46</v>
      </c>
      <c r="L18" s="27">
        <f>K18+J18</f>
        <v>75</v>
      </c>
      <c r="M18" s="18" t="str">
        <f>IF(L18&lt;50,"F",IF(L18&lt;=54.99,"P",IF(L18&lt;=59.99,"C",IF(L18&lt;=64.99,"B",IF(L18&lt;=69.99,"B+",IF(L18&lt;=74.99,"A",IF(L18&lt;=79.99,"A+","O")))))))</f>
        <v>A+</v>
      </c>
      <c r="N18" s="18" t="str">
        <f>IF(L18&lt;50,"0",IF(L18&lt;=54.99,"4",IF(L18&lt;=59.99,"5",IF(L18&lt;=64.99,"6",IF(L18&lt;=69.99,"7",IF(L18&lt;=74.99,"8",IF(L18&lt;=79.99,"9","10")))))))</f>
        <v>9</v>
      </c>
      <c r="O18" s="28">
        <v>4</v>
      </c>
      <c r="P18" s="29">
        <f>N18*O18</f>
        <v>36</v>
      </c>
      <c r="Q18" s="21">
        <f>'[5]3rd Subject'!$C65</f>
        <v>29</v>
      </c>
      <c r="R18" s="21">
        <f>'[5]3rd Subject'!$D65</f>
        <v>46</v>
      </c>
      <c r="S18" s="27">
        <f>R18+Q18</f>
        <v>75</v>
      </c>
      <c r="T18" s="18" t="str">
        <f>IF(S18&lt;50,"F",IF(S18&lt;=54.99,"P",IF(S18&lt;=59.99,"C",IF(S18&lt;=64.99,"B",IF(S18&lt;=69.99,"B+",IF(S18&lt;=74.99,"A",IF(S18&lt;=79.99,"A+","O")))))))</f>
        <v>A+</v>
      </c>
      <c r="U18" s="18" t="str">
        <f>IF(S18&lt;50,"0",IF(S18&lt;=54.99,"4",IF(S18&lt;=59.99,"5",IF(S18&lt;=64.99,"6",IF(S18&lt;=69.99,"7",IF(S18&lt;=74.99,"8",IF(S18&lt;=79.99,"9","10")))))))</f>
        <v>9</v>
      </c>
      <c r="V18" s="28">
        <v>4</v>
      </c>
      <c r="W18" s="29">
        <f>U18*V18</f>
        <v>36</v>
      </c>
      <c r="X18" s="22">
        <f>'[6]4th Subject'!$C65</f>
        <v>29</v>
      </c>
      <c r="Y18" s="23">
        <f>'[6]4th Subject'!$D65</f>
        <v>46</v>
      </c>
      <c r="Z18" s="27">
        <f>Y18+X18</f>
        <v>75</v>
      </c>
      <c r="AA18" s="18" t="str">
        <f>IF(Z18&lt;50,"F",IF(Z18&lt;=54.99,"P",IF(Z18&lt;=59.99,"C",IF(Z18&lt;=64.99,"B",IF(Z18&lt;=69.99,"B+",IF(Z18&lt;=74.99,"A",IF(Z18&lt;=79.99,"A+","O")))))))</f>
        <v>A+</v>
      </c>
      <c r="AB18" s="18" t="str">
        <f>IF(Z18&lt;50,"0",IF(Z18&lt;=54.99,"4",IF(Z18&lt;=59.99,"5",IF(Z18&lt;=64.99,"6",IF(Z18&lt;=69.99,"7",IF(Z18&lt;=74.99,"8",IF(Z18&lt;=79.99,"9","10")))))))</f>
        <v>9</v>
      </c>
      <c r="AC18" s="28">
        <v>4</v>
      </c>
      <c r="AD18" s="29">
        <f>AB18*AC18</f>
        <v>36</v>
      </c>
      <c r="AE18" s="22">
        <f>'[7]5th Subject'!$C65</f>
        <v>29</v>
      </c>
      <c r="AF18" s="23">
        <f>'[7]5th Subject'!$D65</f>
        <v>46</v>
      </c>
      <c r="AG18" s="27">
        <f>AF18+AE18</f>
        <v>75</v>
      </c>
      <c r="AH18" s="18" t="str">
        <f>IF(AG18&lt;50,"F",IF(AG18&lt;=54.99,"P",IF(AG18&lt;=59.99,"C",IF(AG18&lt;=64.99,"B",IF(AG18&lt;=69.99,"B+",IF(AG18&lt;=74.99,"A",IF(AG18&lt;=79.99,"A+","O")))))))</f>
        <v>A+</v>
      </c>
      <c r="AI18" s="18" t="str">
        <f>IF(AG18&lt;50,"0",IF(AG18&lt;=54.99,"4",IF(AG18&lt;=59.99,"5",IF(AG18&lt;=64.99,"6",IF(AG18&lt;=69.99,"7",IF(AG18&lt;=74.99,"8",IF(AG18&lt;=79.99,"9","10")))))))</f>
        <v>9</v>
      </c>
      <c r="AJ18" s="28">
        <v>4</v>
      </c>
      <c r="AK18" s="29">
        <f>AI18*AJ18</f>
        <v>36</v>
      </c>
      <c r="AL18" s="22">
        <f>'[8]6th Subject'!$C65</f>
        <v>29</v>
      </c>
      <c r="AM18" s="22">
        <f>'[8]6th Subject'!$D65</f>
        <v>46</v>
      </c>
      <c r="AN18" s="27">
        <f>AM18+AL18</f>
        <v>75</v>
      </c>
      <c r="AO18" s="18" t="str">
        <f>IF(AN18&lt;50,"F",IF(AN18&lt;=54.99,"P",IF(AN18&lt;=59.99,"C",IF(AN18&lt;=64.99,"B",IF(AN18&lt;=69.99,"B+",IF(AN18&lt;=74.99,"A",IF(AN18&lt;=79.99,"A+","O")))))))</f>
        <v>A+</v>
      </c>
      <c r="AP18" s="18" t="str">
        <f>IF(AN18&lt;50,"0",IF(AN18&lt;=54.99,"4",IF(AN18&lt;=59.99,"5",IF(AN18&lt;=64.99,"6",IF(AN18&lt;=69.99,"7",IF(AN18&lt;=74.99,"8",IF(AN18&lt;=79.99,"9","10")))))))</f>
        <v>9</v>
      </c>
      <c r="AQ18" s="28">
        <v>4</v>
      </c>
      <c r="AR18" s="29">
        <f>AP18*AQ18</f>
        <v>36</v>
      </c>
      <c r="AS18" s="16">
        <f>'[9]7th Subject'!$C65</f>
        <v>29</v>
      </c>
      <c r="AT18" s="16">
        <f>'[9]7th Subject'!$D65</f>
        <v>46</v>
      </c>
      <c r="AU18" s="27">
        <f>AT18+AS18</f>
        <v>75</v>
      </c>
      <c r="AV18" s="18" t="str">
        <f>IF(AU18&lt;50,"F",IF(AU18&lt;=54.99,"P",IF(AU18&lt;=59.99,"C",IF(AU18&lt;=64.99,"B",IF(AU18&lt;=69.99,"B+",IF(AU18&lt;=74.99,"A",IF(AU18&lt;=79.99,"A+","O")))))))</f>
        <v>A+</v>
      </c>
      <c r="AW18" s="18" t="str">
        <f>IF(AU18&lt;50,"0",IF(AU18&lt;=54.99,"4",IF(AU18&lt;=59.99,"5",IF(AU18&lt;=64.99,"6",IF(AU18&lt;=69.99,"7",IF(AU18&lt;=74.99,"8",IF(AU18&lt;=79.99,"9","10")))))))</f>
        <v>9</v>
      </c>
      <c r="AX18" s="28">
        <v>4</v>
      </c>
      <c r="AY18" s="29">
        <f>AW18*AX18</f>
        <v>36</v>
      </c>
      <c r="AZ18" s="22">
        <f>'[10]8th Subject'!$C65</f>
        <v>29</v>
      </c>
      <c r="BA18" s="22">
        <f>'[10]8th Subject'!$D65</f>
        <v>46</v>
      </c>
      <c r="BB18" s="27">
        <f>BA18+AZ18</f>
        <v>75</v>
      </c>
      <c r="BC18" s="18" t="str">
        <f>IF(BB18&lt;50,"F",IF(BB18&lt;=54.99,"P",IF(BB18&lt;=59.99,"C",IF(BB18&lt;=64.99,"B",IF(BB18&lt;=69.99,"B+",IF(BB18&lt;=74.99,"A",IF(BB18&lt;=79.99,"A+","O")))))))</f>
        <v>A+</v>
      </c>
      <c r="BD18" s="18" t="str">
        <f>IF(BB18&lt;50,"0",IF(BB18&lt;=54.99,"4",IF(BB18&lt;=59.99,"5",IF(BB18&lt;=64.99,"6",IF(BB18&lt;=69.99,"7",IF(BB18&lt;=74.99,"8",IF(BB18&lt;=79.99,"9","10")))))))</f>
        <v>9</v>
      </c>
      <c r="BE18" s="28">
        <v>4</v>
      </c>
      <c r="BF18" s="29">
        <f>BD18*BE18</f>
        <v>36</v>
      </c>
      <c r="BG18" s="27">
        <f>AZ18+AS18+AE18+X18+J18+C18+Q18+AL18</f>
        <v>232</v>
      </c>
      <c r="BH18" s="27">
        <f>BA18+AT18+AF18+Y18+K18+D18+R18+AM18</f>
        <v>368</v>
      </c>
      <c r="BI18" s="27">
        <f>BH18+BG18</f>
        <v>600</v>
      </c>
      <c r="BJ18" s="30">
        <f>G18+N18+U18+AB18+AI18+AP18+BD18+AW18</f>
        <v>72</v>
      </c>
      <c r="BK18" s="30">
        <f>I18+P18+W18+AD18+AK18+AY18+BF18+AR18</f>
        <v>288</v>
      </c>
      <c r="BL18" s="25">
        <f>(BN18-0.75)*10</f>
        <v>82.5</v>
      </c>
      <c r="BM18" s="17" t="str">
        <f>IF(OR(C18&lt;20,D18&lt;30,J18&lt;20,K18&lt;30,Q18&lt;20,R18&lt;30,X18&lt;20,Y18&lt;30,AE18&lt;20,AF18&lt;30,AL18&lt;20,AM18&lt;30,AS18&lt;20,AT18&lt;30,AZ18&lt;20,BA18&lt;30),"Unsuccessful","Successful")</f>
        <v>Successful</v>
      </c>
      <c r="BN18" s="31">
        <f>BK18/32</f>
        <v>9</v>
      </c>
      <c r="BO18" s="18" t="str">
        <f>IF(BN18&lt;=4,"F",IF(BN18&lt;=4.5,"P",IF(BN18&lt;=5.5,"C",IF(BN18&lt;=6.5,"B",IF(BN18&lt;=7.5,"B+",IF(BN18&lt;=8.5,"A",IF(BN18&lt;=9.5,"A+","O")))))))</f>
        <v>A+</v>
      </c>
      <c r="BP18" s="14" t="str">
        <f>IF(BN18&lt;=4,"50",IF(BN18&lt;=4.5,"50-54.99",IF(BN18&lt;=5.5,"55-59.99",IF(BN18&lt;=6.5,"60-64.99",IF(BN18&lt;=7.5,"65-69.99",IF(BN18&lt;=8.5,"70-74.99",IF(BN18&lt;=9.5,"75-79.99","10")))))))</f>
        <v>75-79.99</v>
      </c>
      <c r="BS18">
        <f>RANK(BN18,$BN$3:$BN$135)</f>
        <v>2</v>
      </c>
    </row>
    <row r="19" spans="1:71" x14ac:dyDescent="0.25">
      <c r="A19" s="14" t="str">
        <f>[2]Sheet1!$A75</f>
        <v>MMS18-20/074</v>
      </c>
      <c r="B19" s="15" t="str">
        <f>[2]Sheet1!$B75</f>
        <v>KUSHWAHA PRAMOD RAMSAKHA ASHA</v>
      </c>
      <c r="C19" s="16">
        <f>'[3]1st Subject'!$C76</f>
        <v>29</v>
      </c>
      <c r="D19" s="16">
        <f>'[3]1st Subject'!$D76</f>
        <v>46</v>
      </c>
      <c r="E19" s="27">
        <f>D19+C19</f>
        <v>75</v>
      </c>
      <c r="F19" s="18" t="str">
        <f>IF(E19&lt;50,"F",IF(E19&lt;=54.99,"P",IF(E19&lt;=59.99,"C",IF(E19&lt;=64.99,"B",IF(E19&lt;=69.99,"B+",IF(E19&lt;=74.99,"A",IF(E19&lt;=79.99,"A+","O")))))))</f>
        <v>A+</v>
      </c>
      <c r="G19" s="18" t="str">
        <f>IF(E19&lt;50,"0",IF(E19&lt;=54.99,"4",IF(E19&lt;=59.99,"5",IF(E19&lt;=64.99,"6",IF(E19&lt;=69.99,"7",IF(E19&lt;=74.99,"8",IF(E19&lt;=79.99,"9","10")))))))</f>
        <v>9</v>
      </c>
      <c r="H19" s="28">
        <v>4</v>
      </c>
      <c r="I19" s="29">
        <f>G19*H19</f>
        <v>36</v>
      </c>
      <c r="J19" s="16">
        <f>'[4]2nd Subject'!$C76</f>
        <v>29</v>
      </c>
      <c r="K19" s="16">
        <f>'[4]2nd Subject'!$D76</f>
        <v>46</v>
      </c>
      <c r="L19" s="27">
        <f>K19+J19</f>
        <v>75</v>
      </c>
      <c r="M19" s="18" t="str">
        <f>IF(L19&lt;50,"F",IF(L19&lt;=54.99,"P",IF(L19&lt;=59.99,"C",IF(L19&lt;=64.99,"B",IF(L19&lt;=69.99,"B+",IF(L19&lt;=74.99,"A",IF(L19&lt;=79.99,"A+","O")))))))</f>
        <v>A+</v>
      </c>
      <c r="N19" s="18" t="str">
        <f>IF(L19&lt;50,"0",IF(L19&lt;=54.99,"4",IF(L19&lt;=59.99,"5",IF(L19&lt;=64.99,"6",IF(L19&lt;=69.99,"7",IF(L19&lt;=74.99,"8",IF(L19&lt;=79.99,"9","10")))))))</f>
        <v>9</v>
      </c>
      <c r="O19" s="28">
        <v>4</v>
      </c>
      <c r="P19" s="29">
        <f>N19*O19</f>
        <v>36</v>
      </c>
      <c r="Q19" s="21">
        <f>'[5]3rd Subject'!$C76</f>
        <v>29</v>
      </c>
      <c r="R19" s="21">
        <f>'[5]3rd Subject'!$D76</f>
        <v>46</v>
      </c>
      <c r="S19" s="27">
        <f>R19+Q19</f>
        <v>75</v>
      </c>
      <c r="T19" s="18" t="str">
        <f>IF(S19&lt;50,"F",IF(S19&lt;=54.99,"P",IF(S19&lt;=59.99,"C",IF(S19&lt;=64.99,"B",IF(S19&lt;=69.99,"B+",IF(S19&lt;=74.99,"A",IF(S19&lt;=79.99,"A+","O")))))))</f>
        <v>A+</v>
      </c>
      <c r="U19" s="18" t="str">
        <f>IF(S19&lt;50,"0",IF(S19&lt;=54.99,"4",IF(S19&lt;=59.99,"5",IF(S19&lt;=64.99,"6",IF(S19&lt;=69.99,"7",IF(S19&lt;=74.99,"8",IF(S19&lt;=79.99,"9","10")))))))</f>
        <v>9</v>
      </c>
      <c r="V19" s="28">
        <v>4</v>
      </c>
      <c r="W19" s="29">
        <f>U19*V19</f>
        <v>36</v>
      </c>
      <c r="X19" s="22">
        <f>'[6]4th Subject'!$C76</f>
        <v>29</v>
      </c>
      <c r="Y19" s="23">
        <f>'[6]4th Subject'!$D76</f>
        <v>46</v>
      </c>
      <c r="Z19" s="27">
        <f>Y19+X19</f>
        <v>75</v>
      </c>
      <c r="AA19" s="18" t="str">
        <f>IF(Z19&lt;50,"F",IF(Z19&lt;=54.99,"P",IF(Z19&lt;=59.99,"C",IF(Z19&lt;=64.99,"B",IF(Z19&lt;=69.99,"B+",IF(Z19&lt;=74.99,"A",IF(Z19&lt;=79.99,"A+","O")))))))</f>
        <v>A+</v>
      </c>
      <c r="AB19" s="18" t="str">
        <f>IF(Z19&lt;50,"0",IF(Z19&lt;=54.99,"4",IF(Z19&lt;=59.99,"5",IF(Z19&lt;=64.99,"6",IF(Z19&lt;=69.99,"7",IF(Z19&lt;=74.99,"8",IF(Z19&lt;=79.99,"9","10")))))))</f>
        <v>9</v>
      </c>
      <c r="AC19" s="28">
        <v>4</v>
      </c>
      <c r="AD19" s="29">
        <f>AB19*AC19</f>
        <v>36</v>
      </c>
      <c r="AE19" s="22">
        <f>'[7]5th Subject'!$C76</f>
        <v>29</v>
      </c>
      <c r="AF19" s="23">
        <f>'[7]5th Subject'!$D76</f>
        <v>46</v>
      </c>
      <c r="AG19" s="27">
        <f>AF19+AE19</f>
        <v>75</v>
      </c>
      <c r="AH19" s="18" t="str">
        <f>IF(AG19&lt;50,"F",IF(AG19&lt;=54.99,"P",IF(AG19&lt;=59.99,"C",IF(AG19&lt;=64.99,"B",IF(AG19&lt;=69.99,"B+",IF(AG19&lt;=74.99,"A",IF(AG19&lt;=79.99,"A+","O")))))))</f>
        <v>A+</v>
      </c>
      <c r="AI19" s="18" t="str">
        <f>IF(AG19&lt;50,"0",IF(AG19&lt;=54.99,"4",IF(AG19&lt;=59.99,"5",IF(AG19&lt;=64.99,"6",IF(AG19&lt;=69.99,"7",IF(AG19&lt;=74.99,"8",IF(AG19&lt;=79.99,"9","10")))))))</f>
        <v>9</v>
      </c>
      <c r="AJ19" s="28">
        <v>4</v>
      </c>
      <c r="AK19" s="29">
        <f>AI19*AJ19</f>
        <v>36</v>
      </c>
      <c r="AL19" s="22">
        <f>'[8]6th Subject'!$C76</f>
        <v>29</v>
      </c>
      <c r="AM19" s="22">
        <f>'[8]6th Subject'!$D76</f>
        <v>46</v>
      </c>
      <c r="AN19" s="27">
        <f>AM19+AL19</f>
        <v>75</v>
      </c>
      <c r="AO19" s="18" t="str">
        <f>IF(AN19&lt;50,"F",IF(AN19&lt;=54.99,"P",IF(AN19&lt;=59.99,"C",IF(AN19&lt;=64.99,"B",IF(AN19&lt;=69.99,"B+",IF(AN19&lt;=74.99,"A",IF(AN19&lt;=79.99,"A+","O")))))))</f>
        <v>A+</v>
      </c>
      <c r="AP19" s="18" t="str">
        <f>IF(AN19&lt;50,"0",IF(AN19&lt;=54.99,"4",IF(AN19&lt;=59.99,"5",IF(AN19&lt;=64.99,"6",IF(AN19&lt;=69.99,"7",IF(AN19&lt;=74.99,"8",IF(AN19&lt;=79.99,"9","10")))))))</f>
        <v>9</v>
      </c>
      <c r="AQ19" s="28">
        <v>4</v>
      </c>
      <c r="AR19" s="29">
        <f>AP19*AQ19</f>
        <v>36</v>
      </c>
      <c r="AS19" s="16">
        <f>'[9]7th Subject'!$C76</f>
        <v>29</v>
      </c>
      <c r="AT19" s="16">
        <f>'[9]7th Subject'!$D76</f>
        <v>46</v>
      </c>
      <c r="AU19" s="27">
        <f>AT19+AS19</f>
        <v>75</v>
      </c>
      <c r="AV19" s="18" t="str">
        <f>IF(AU19&lt;50,"F",IF(AU19&lt;=54.99,"P",IF(AU19&lt;=59.99,"C",IF(AU19&lt;=64.99,"B",IF(AU19&lt;=69.99,"B+",IF(AU19&lt;=74.99,"A",IF(AU19&lt;=79.99,"A+","O")))))))</f>
        <v>A+</v>
      </c>
      <c r="AW19" s="18" t="str">
        <f>IF(AU19&lt;50,"0",IF(AU19&lt;=54.99,"4",IF(AU19&lt;=59.99,"5",IF(AU19&lt;=64.99,"6",IF(AU19&lt;=69.99,"7",IF(AU19&lt;=74.99,"8",IF(AU19&lt;=79.99,"9","10")))))))</f>
        <v>9</v>
      </c>
      <c r="AX19" s="28">
        <v>4</v>
      </c>
      <c r="AY19" s="29">
        <f>AW19*AX19</f>
        <v>36</v>
      </c>
      <c r="AZ19" s="22">
        <f>'[10]8th Subject'!$C76</f>
        <v>29</v>
      </c>
      <c r="BA19" s="22">
        <f>'[10]8th Subject'!$D76</f>
        <v>46</v>
      </c>
      <c r="BB19" s="27">
        <f>BA19+AZ19</f>
        <v>75</v>
      </c>
      <c r="BC19" s="18" t="str">
        <f>IF(BB19&lt;50,"F",IF(BB19&lt;=54.99,"P",IF(BB19&lt;=59.99,"C",IF(BB19&lt;=64.99,"B",IF(BB19&lt;=69.99,"B+",IF(BB19&lt;=74.99,"A",IF(BB19&lt;=79.99,"A+","O")))))))</f>
        <v>A+</v>
      </c>
      <c r="BD19" s="18" t="str">
        <f>IF(BB19&lt;50,"0",IF(BB19&lt;=54.99,"4",IF(BB19&lt;=59.99,"5",IF(BB19&lt;=64.99,"6",IF(BB19&lt;=69.99,"7",IF(BB19&lt;=74.99,"8",IF(BB19&lt;=79.99,"9","10")))))))</f>
        <v>9</v>
      </c>
      <c r="BE19" s="28">
        <v>4</v>
      </c>
      <c r="BF19" s="29">
        <f>BD19*BE19</f>
        <v>36</v>
      </c>
      <c r="BG19" s="27">
        <f>AZ19+AS19+AE19+X19+J19+C19+Q19+AL19</f>
        <v>232</v>
      </c>
      <c r="BH19" s="27">
        <f>BA19+AT19+AF19+Y19+K19+D19+R19+AM19</f>
        <v>368</v>
      </c>
      <c r="BI19" s="27">
        <f>BH19+BG19</f>
        <v>600</v>
      </c>
      <c r="BJ19" s="30">
        <f>G19+N19+U19+AB19+AI19+AP19+BD19+AW19</f>
        <v>72</v>
      </c>
      <c r="BK19" s="30">
        <f>I19+P19+W19+AD19+AK19+AY19+BF19+AR19</f>
        <v>288</v>
      </c>
      <c r="BL19" s="25">
        <f>(BN19-0.75)*10</f>
        <v>82.5</v>
      </c>
      <c r="BM19" s="17" t="str">
        <f>IF(OR(C19&lt;20,D19&lt;30,J19&lt;20,K19&lt;30,Q19&lt;20,R19&lt;30,X19&lt;20,Y19&lt;30,AE19&lt;20,AF19&lt;30,AL19&lt;20,AM19&lt;30,AS19&lt;20,AT19&lt;30,AZ19&lt;20,BA19&lt;30),"Unsuccessful","Successful")</f>
        <v>Successful</v>
      </c>
      <c r="BN19" s="31">
        <f>BK19/32</f>
        <v>9</v>
      </c>
      <c r="BO19" s="18" t="str">
        <f>IF(BN19&lt;=4,"F",IF(BN19&lt;=4.5,"P",IF(BN19&lt;=5.5,"C",IF(BN19&lt;=6.5,"B",IF(BN19&lt;=7.5,"B+",IF(BN19&lt;=8.5,"A",IF(BN19&lt;=9.5,"A+","O")))))))</f>
        <v>A+</v>
      </c>
      <c r="BP19" s="14" t="str">
        <f>IF(BN19&lt;=4,"50",IF(BN19&lt;=4.5,"50-54.99",IF(BN19&lt;=5.5,"55-59.99",IF(BN19&lt;=6.5,"60-64.99",IF(BN19&lt;=7.5,"65-69.99",IF(BN19&lt;=8.5,"70-74.99",IF(BN19&lt;=9.5,"75-79.99","10")))))))</f>
        <v>75-79.99</v>
      </c>
      <c r="BS19">
        <f>RANK(BN19,$BN$3:$BN$135)</f>
        <v>2</v>
      </c>
    </row>
    <row r="20" spans="1:71" x14ac:dyDescent="0.25">
      <c r="A20" s="14" t="str">
        <f>[2]Sheet1!$A86</f>
        <v>MMS18-20/085</v>
      </c>
      <c r="B20" s="15" t="str">
        <f>[2]Sheet1!$B86</f>
        <v>/RANE ASHWINI SANTOSH SAVITA</v>
      </c>
      <c r="C20" s="16">
        <f>'[3]1st Subject'!$C87</f>
        <v>29</v>
      </c>
      <c r="D20" s="16">
        <f>'[3]1st Subject'!$D87</f>
        <v>46</v>
      </c>
      <c r="E20" s="27">
        <f>D20+C20</f>
        <v>75</v>
      </c>
      <c r="F20" s="18" t="str">
        <f>IF(E20&lt;50,"F",IF(E20&lt;=54.99,"P",IF(E20&lt;=59.99,"C",IF(E20&lt;=64.99,"B",IF(E20&lt;=69.99,"B+",IF(E20&lt;=74.99,"A",IF(E20&lt;=79.99,"A+","O")))))))</f>
        <v>A+</v>
      </c>
      <c r="G20" s="18" t="str">
        <f>IF(E20&lt;50,"0",IF(E20&lt;=54.99,"4",IF(E20&lt;=59.99,"5",IF(E20&lt;=64.99,"6",IF(E20&lt;=69.99,"7",IF(E20&lt;=74.99,"8",IF(E20&lt;=79.99,"9","10")))))))</f>
        <v>9</v>
      </c>
      <c r="H20" s="28">
        <v>4</v>
      </c>
      <c r="I20" s="29">
        <f>G20*H20</f>
        <v>36</v>
      </c>
      <c r="J20" s="16">
        <f>'[4]2nd Subject'!$C87</f>
        <v>29</v>
      </c>
      <c r="K20" s="16">
        <f>'[4]2nd Subject'!$D87</f>
        <v>46</v>
      </c>
      <c r="L20" s="27">
        <f>K20+J20</f>
        <v>75</v>
      </c>
      <c r="M20" s="18" t="str">
        <f>IF(L20&lt;50,"F",IF(L20&lt;=54.99,"P",IF(L20&lt;=59.99,"C",IF(L20&lt;=64.99,"B",IF(L20&lt;=69.99,"B+",IF(L20&lt;=74.99,"A",IF(L20&lt;=79.99,"A+","O")))))))</f>
        <v>A+</v>
      </c>
      <c r="N20" s="18" t="str">
        <f>IF(L20&lt;50,"0",IF(L20&lt;=54.99,"4",IF(L20&lt;=59.99,"5",IF(L20&lt;=64.99,"6",IF(L20&lt;=69.99,"7",IF(L20&lt;=74.99,"8",IF(L20&lt;=79.99,"9","10")))))))</f>
        <v>9</v>
      </c>
      <c r="O20" s="28">
        <v>4</v>
      </c>
      <c r="P20" s="29">
        <f>N20*O20</f>
        <v>36</v>
      </c>
      <c r="Q20" s="21">
        <f>'[5]3rd Subject'!$C87</f>
        <v>29</v>
      </c>
      <c r="R20" s="21">
        <f>'[5]3rd Subject'!$D87</f>
        <v>46</v>
      </c>
      <c r="S20" s="27">
        <f>R20+Q20</f>
        <v>75</v>
      </c>
      <c r="T20" s="18" t="str">
        <f>IF(S20&lt;50,"F",IF(S20&lt;=54.99,"P",IF(S20&lt;=59.99,"C",IF(S20&lt;=64.99,"B",IF(S20&lt;=69.99,"B+",IF(S20&lt;=74.99,"A",IF(S20&lt;=79.99,"A+","O")))))))</f>
        <v>A+</v>
      </c>
      <c r="U20" s="18" t="str">
        <f>IF(S20&lt;50,"0",IF(S20&lt;=54.99,"4",IF(S20&lt;=59.99,"5",IF(S20&lt;=64.99,"6",IF(S20&lt;=69.99,"7",IF(S20&lt;=74.99,"8",IF(S20&lt;=79.99,"9","10")))))))</f>
        <v>9</v>
      </c>
      <c r="V20" s="28">
        <v>4</v>
      </c>
      <c r="W20" s="29">
        <f>U20*V20</f>
        <v>36</v>
      </c>
      <c r="X20" s="22">
        <f>'[6]4th Subject'!$C87</f>
        <v>29</v>
      </c>
      <c r="Y20" s="23">
        <f>'[6]4th Subject'!$D87</f>
        <v>46</v>
      </c>
      <c r="Z20" s="27">
        <f>Y20+X20</f>
        <v>75</v>
      </c>
      <c r="AA20" s="18" t="str">
        <f>IF(Z20&lt;50,"F",IF(Z20&lt;=54.99,"P",IF(Z20&lt;=59.99,"C",IF(Z20&lt;=64.99,"B",IF(Z20&lt;=69.99,"B+",IF(Z20&lt;=74.99,"A",IF(Z20&lt;=79.99,"A+","O")))))))</f>
        <v>A+</v>
      </c>
      <c r="AB20" s="18" t="str">
        <f>IF(Z20&lt;50,"0",IF(Z20&lt;=54.99,"4",IF(Z20&lt;=59.99,"5",IF(Z20&lt;=64.99,"6",IF(Z20&lt;=69.99,"7",IF(Z20&lt;=74.99,"8",IF(Z20&lt;=79.99,"9","10")))))))</f>
        <v>9</v>
      </c>
      <c r="AC20" s="28">
        <v>4</v>
      </c>
      <c r="AD20" s="29">
        <f>AB20*AC20</f>
        <v>36</v>
      </c>
      <c r="AE20" s="22">
        <f>'[7]5th Subject'!$C87</f>
        <v>29</v>
      </c>
      <c r="AF20" s="23">
        <f>'[7]5th Subject'!$D87</f>
        <v>46</v>
      </c>
      <c r="AG20" s="27">
        <f>AF20+AE20</f>
        <v>75</v>
      </c>
      <c r="AH20" s="18" t="str">
        <f>IF(AG20&lt;50,"F",IF(AG20&lt;=54.99,"P",IF(AG20&lt;=59.99,"C",IF(AG20&lt;=64.99,"B",IF(AG20&lt;=69.99,"B+",IF(AG20&lt;=74.99,"A",IF(AG20&lt;=79.99,"A+","O")))))))</f>
        <v>A+</v>
      </c>
      <c r="AI20" s="18" t="str">
        <f>IF(AG20&lt;50,"0",IF(AG20&lt;=54.99,"4",IF(AG20&lt;=59.99,"5",IF(AG20&lt;=64.99,"6",IF(AG20&lt;=69.99,"7",IF(AG20&lt;=74.99,"8",IF(AG20&lt;=79.99,"9","10")))))))</f>
        <v>9</v>
      </c>
      <c r="AJ20" s="28">
        <v>4</v>
      </c>
      <c r="AK20" s="29">
        <f>AI20*AJ20</f>
        <v>36</v>
      </c>
      <c r="AL20" s="22">
        <f>'[8]6th Subject'!$C87</f>
        <v>29</v>
      </c>
      <c r="AM20" s="22">
        <f>'[8]6th Subject'!$D87</f>
        <v>46</v>
      </c>
      <c r="AN20" s="27">
        <f>AM20+AL20</f>
        <v>75</v>
      </c>
      <c r="AO20" s="18" t="str">
        <f>IF(AN20&lt;50,"F",IF(AN20&lt;=54.99,"P",IF(AN20&lt;=59.99,"C",IF(AN20&lt;=64.99,"B",IF(AN20&lt;=69.99,"B+",IF(AN20&lt;=74.99,"A",IF(AN20&lt;=79.99,"A+","O")))))))</f>
        <v>A+</v>
      </c>
      <c r="AP20" s="18" t="str">
        <f>IF(AN20&lt;50,"0",IF(AN20&lt;=54.99,"4",IF(AN20&lt;=59.99,"5",IF(AN20&lt;=64.99,"6",IF(AN20&lt;=69.99,"7",IF(AN20&lt;=74.99,"8",IF(AN20&lt;=79.99,"9","10")))))))</f>
        <v>9</v>
      </c>
      <c r="AQ20" s="28">
        <v>4</v>
      </c>
      <c r="AR20" s="29">
        <f>AP20*AQ20</f>
        <v>36</v>
      </c>
      <c r="AS20" s="16">
        <f>'[9]7th Subject'!$C87</f>
        <v>29</v>
      </c>
      <c r="AT20" s="16">
        <f>'[9]7th Subject'!$D87</f>
        <v>46</v>
      </c>
      <c r="AU20" s="27">
        <f>AT20+AS20</f>
        <v>75</v>
      </c>
      <c r="AV20" s="18" t="str">
        <f>IF(AU20&lt;50,"F",IF(AU20&lt;=54.99,"P",IF(AU20&lt;=59.99,"C",IF(AU20&lt;=64.99,"B",IF(AU20&lt;=69.99,"B+",IF(AU20&lt;=74.99,"A",IF(AU20&lt;=79.99,"A+","O")))))))</f>
        <v>A+</v>
      </c>
      <c r="AW20" s="18" t="str">
        <f>IF(AU20&lt;50,"0",IF(AU20&lt;=54.99,"4",IF(AU20&lt;=59.99,"5",IF(AU20&lt;=64.99,"6",IF(AU20&lt;=69.99,"7",IF(AU20&lt;=74.99,"8",IF(AU20&lt;=79.99,"9","10")))))))</f>
        <v>9</v>
      </c>
      <c r="AX20" s="28">
        <v>4</v>
      </c>
      <c r="AY20" s="29">
        <f>AW20*AX20</f>
        <v>36</v>
      </c>
      <c r="AZ20" s="22">
        <f>'[10]8th Subject'!$C87</f>
        <v>29</v>
      </c>
      <c r="BA20" s="22">
        <f>'[10]8th Subject'!$D87</f>
        <v>46</v>
      </c>
      <c r="BB20" s="27">
        <f>BA20+AZ20</f>
        <v>75</v>
      </c>
      <c r="BC20" s="18" t="str">
        <f>IF(BB20&lt;50,"F",IF(BB20&lt;=54.99,"P",IF(BB20&lt;=59.99,"C",IF(BB20&lt;=64.99,"B",IF(BB20&lt;=69.99,"B+",IF(BB20&lt;=74.99,"A",IF(BB20&lt;=79.99,"A+","O")))))))</f>
        <v>A+</v>
      </c>
      <c r="BD20" s="18" t="str">
        <f>IF(BB20&lt;50,"0",IF(BB20&lt;=54.99,"4",IF(BB20&lt;=59.99,"5",IF(BB20&lt;=64.99,"6",IF(BB20&lt;=69.99,"7",IF(BB20&lt;=74.99,"8",IF(BB20&lt;=79.99,"9","10")))))))</f>
        <v>9</v>
      </c>
      <c r="BE20" s="28">
        <v>4</v>
      </c>
      <c r="BF20" s="29">
        <f>BD20*BE20</f>
        <v>36</v>
      </c>
      <c r="BG20" s="27">
        <f>AZ20+AS20+AE20+X20+J20+C20+Q20+AL20</f>
        <v>232</v>
      </c>
      <c r="BH20" s="27">
        <f>BA20+AT20+AF20+Y20+K20+D20+R20+AM20</f>
        <v>368</v>
      </c>
      <c r="BI20" s="27">
        <f>BH20+BG20</f>
        <v>600</v>
      </c>
      <c r="BJ20" s="30">
        <f>G20+N20+U20+AB20+AI20+AP20+BD20+AW20</f>
        <v>72</v>
      </c>
      <c r="BK20" s="30">
        <f>I20+P20+W20+AD20+AK20+AY20+BF20+AR20</f>
        <v>288</v>
      </c>
      <c r="BL20" s="25">
        <f>(BN20-0.75)*10</f>
        <v>82.5</v>
      </c>
      <c r="BM20" s="17" t="str">
        <f>IF(OR(C20&lt;20,D20&lt;30,J20&lt;20,K20&lt;30,Q20&lt;20,R20&lt;30,X20&lt;20,Y20&lt;30,AE20&lt;20,AF20&lt;30,AL20&lt;20,AM20&lt;30,AS20&lt;20,AT20&lt;30,AZ20&lt;20,BA20&lt;30),"Unsuccessful","Successful")</f>
        <v>Successful</v>
      </c>
      <c r="BN20" s="31">
        <f>BK20/32</f>
        <v>9</v>
      </c>
      <c r="BO20" s="18" t="str">
        <f>IF(BN20&lt;=4,"F",IF(BN20&lt;=4.5,"P",IF(BN20&lt;=5.5,"C",IF(BN20&lt;=6.5,"B",IF(BN20&lt;=7.5,"B+",IF(BN20&lt;=8.5,"A",IF(BN20&lt;=9.5,"A+","O")))))))</f>
        <v>A+</v>
      </c>
      <c r="BP20" s="14" t="str">
        <f>IF(BN20&lt;=4,"50",IF(BN20&lt;=4.5,"50-54.99",IF(BN20&lt;=5.5,"55-59.99",IF(BN20&lt;=6.5,"60-64.99",IF(BN20&lt;=7.5,"65-69.99",IF(BN20&lt;=8.5,"70-74.99",IF(BN20&lt;=9.5,"75-79.99","10")))))))</f>
        <v>75-79.99</v>
      </c>
      <c r="BS20">
        <f>RANK(BN20,$BN$3:$BN$135)</f>
        <v>2</v>
      </c>
    </row>
    <row r="21" spans="1:71" x14ac:dyDescent="0.25">
      <c r="A21" s="14" t="str">
        <f>[2]Sheet1!$A97</f>
        <v>MMS18-20/096</v>
      </c>
      <c r="B21" s="15" t="str">
        <f>[2]Sheet1!$B97</f>
        <v>SHINDE ASHUTOSH BHASKAR BHAVANA</v>
      </c>
      <c r="C21" s="16">
        <f>'[3]1st Subject'!$C98</f>
        <v>29</v>
      </c>
      <c r="D21" s="16">
        <f>'[3]1st Subject'!$D98</f>
        <v>46</v>
      </c>
      <c r="E21" s="27">
        <f>D21+C21</f>
        <v>75</v>
      </c>
      <c r="F21" s="18" t="str">
        <f>IF(E21&lt;50,"F",IF(E21&lt;=54.99,"P",IF(E21&lt;=59.99,"C",IF(E21&lt;=64.99,"B",IF(E21&lt;=69.99,"B+",IF(E21&lt;=74.99,"A",IF(E21&lt;=79.99,"A+","O")))))))</f>
        <v>A+</v>
      </c>
      <c r="G21" s="18" t="str">
        <f>IF(E21&lt;50,"0",IF(E21&lt;=54.99,"4",IF(E21&lt;=59.99,"5",IF(E21&lt;=64.99,"6",IF(E21&lt;=69.99,"7",IF(E21&lt;=74.99,"8",IF(E21&lt;=79.99,"9","10")))))))</f>
        <v>9</v>
      </c>
      <c r="H21" s="28">
        <v>4</v>
      </c>
      <c r="I21" s="29">
        <f>G21*H21</f>
        <v>36</v>
      </c>
      <c r="J21" s="16">
        <f>'[4]2nd Subject'!$C98</f>
        <v>29</v>
      </c>
      <c r="K21" s="16">
        <f>'[4]2nd Subject'!$D98</f>
        <v>46</v>
      </c>
      <c r="L21" s="27">
        <f>K21+J21</f>
        <v>75</v>
      </c>
      <c r="M21" s="18" t="str">
        <f>IF(L21&lt;50,"F",IF(L21&lt;=54.99,"P",IF(L21&lt;=59.99,"C",IF(L21&lt;=64.99,"B",IF(L21&lt;=69.99,"B+",IF(L21&lt;=74.99,"A",IF(L21&lt;=79.99,"A+","O")))))))</f>
        <v>A+</v>
      </c>
      <c r="N21" s="18" t="str">
        <f>IF(L21&lt;50,"0",IF(L21&lt;=54.99,"4",IF(L21&lt;=59.99,"5",IF(L21&lt;=64.99,"6",IF(L21&lt;=69.99,"7",IF(L21&lt;=74.99,"8",IF(L21&lt;=79.99,"9","10")))))))</f>
        <v>9</v>
      </c>
      <c r="O21" s="28">
        <v>4</v>
      </c>
      <c r="P21" s="29">
        <f>N21*O21</f>
        <v>36</v>
      </c>
      <c r="Q21" s="21">
        <f>'[5]3rd Subject'!$C98</f>
        <v>29</v>
      </c>
      <c r="R21" s="21">
        <f>'[5]3rd Subject'!$D98</f>
        <v>46</v>
      </c>
      <c r="S21" s="27">
        <f>R21+Q21</f>
        <v>75</v>
      </c>
      <c r="T21" s="18" t="str">
        <f>IF(S21&lt;50,"F",IF(S21&lt;=54.99,"P",IF(S21&lt;=59.99,"C",IF(S21&lt;=64.99,"B",IF(S21&lt;=69.99,"B+",IF(S21&lt;=74.99,"A",IF(S21&lt;=79.99,"A+","O")))))))</f>
        <v>A+</v>
      </c>
      <c r="U21" s="18" t="str">
        <f>IF(S21&lt;50,"0",IF(S21&lt;=54.99,"4",IF(S21&lt;=59.99,"5",IF(S21&lt;=64.99,"6",IF(S21&lt;=69.99,"7",IF(S21&lt;=74.99,"8",IF(S21&lt;=79.99,"9","10")))))))</f>
        <v>9</v>
      </c>
      <c r="V21" s="28">
        <v>4</v>
      </c>
      <c r="W21" s="29">
        <f>U21*V21</f>
        <v>36</v>
      </c>
      <c r="X21" s="22">
        <f>'[6]4th Subject'!$C98</f>
        <v>29</v>
      </c>
      <c r="Y21" s="23">
        <f>'[6]4th Subject'!$D98</f>
        <v>46</v>
      </c>
      <c r="Z21" s="27">
        <f>Y21+X21</f>
        <v>75</v>
      </c>
      <c r="AA21" s="18" t="str">
        <f>IF(Z21&lt;50,"F",IF(Z21&lt;=54.99,"P",IF(Z21&lt;=59.99,"C",IF(Z21&lt;=64.99,"B",IF(Z21&lt;=69.99,"B+",IF(Z21&lt;=74.99,"A",IF(Z21&lt;=79.99,"A+","O")))))))</f>
        <v>A+</v>
      </c>
      <c r="AB21" s="18" t="str">
        <f>IF(Z21&lt;50,"0",IF(Z21&lt;=54.99,"4",IF(Z21&lt;=59.99,"5",IF(Z21&lt;=64.99,"6",IF(Z21&lt;=69.99,"7",IF(Z21&lt;=74.99,"8",IF(Z21&lt;=79.99,"9","10")))))))</f>
        <v>9</v>
      </c>
      <c r="AC21" s="28">
        <v>4</v>
      </c>
      <c r="AD21" s="29">
        <f>AB21*AC21</f>
        <v>36</v>
      </c>
      <c r="AE21" s="22">
        <f>'[7]5th Subject'!$C98</f>
        <v>29</v>
      </c>
      <c r="AF21" s="23">
        <f>'[7]5th Subject'!$D98</f>
        <v>46</v>
      </c>
      <c r="AG21" s="27">
        <f>AF21+AE21</f>
        <v>75</v>
      </c>
      <c r="AH21" s="18" t="str">
        <f>IF(AG21&lt;50,"F",IF(AG21&lt;=54.99,"P",IF(AG21&lt;=59.99,"C",IF(AG21&lt;=64.99,"B",IF(AG21&lt;=69.99,"B+",IF(AG21&lt;=74.99,"A",IF(AG21&lt;=79.99,"A+","O")))))))</f>
        <v>A+</v>
      </c>
      <c r="AI21" s="18" t="str">
        <f>IF(AG21&lt;50,"0",IF(AG21&lt;=54.99,"4",IF(AG21&lt;=59.99,"5",IF(AG21&lt;=64.99,"6",IF(AG21&lt;=69.99,"7",IF(AG21&lt;=74.99,"8",IF(AG21&lt;=79.99,"9","10")))))))</f>
        <v>9</v>
      </c>
      <c r="AJ21" s="28">
        <v>4</v>
      </c>
      <c r="AK21" s="29">
        <f>AI21*AJ21</f>
        <v>36</v>
      </c>
      <c r="AL21" s="22">
        <f>'[8]6th Subject'!$C98</f>
        <v>29</v>
      </c>
      <c r="AM21" s="22">
        <f>'[8]6th Subject'!$D98</f>
        <v>46</v>
      </c>
      <c r="AN21" s="27">
        <f>AM21+AL21</f>
        <v>75</v>
      </c>
      <c r="AO21" s="18" t="str">
        <f>IF(AN21&lt;50,"F",IF(AN21&lt;=54.99,"P",IF(AN21&lt;=59.99,"C",IF(AN21&lt;=64.99,"B",IF(AN21&lt;=69.99,"B+",IF(AN21&lt;=74.99,"A",IF(AN21&lt;=79.99,"A+","O")))))))</f>
        <v>A+</v>
      </c>
      <c r="AP21" s="18" t="str">
        <f>IF(AN21&lt;50,"0",IF(AN21&lt;=54.99,"4",IF(AN21&lt;=59.99,"5",IF(AN21&lt;=64.99,"6",IF(AN21&lt;=69.99,"7",IF(AN21&lt;=74.99,"8",IF(AN21&lt;=79.99,"9","10")))))))</f>
        <v>9</v>
      </c>
      <c r="AQ21" s="28">
        <v>4</v>
      </c>
      <c r="AR21" s="29">
        <f>AP21*AQ21</f>
        <v>36</v>
      </c>
      <c r="AS21" s="16">
        <f>'[9]7th Subject'!$C98</f>
        <v>29</v>
      </c>
      <c r="AT21" s="16">
        <f>'[9]7th Subject'!$D98</f>
        <v>46</v>
      </c>
      <c r="AU21" s="27">
        <f>AT21+AS21</f>
        <v>75</v>
      </c>
      <c r="AV21" s="18" t="str">
        <f>IF(AU21&lt;50,"F",IF(AU21&lt;=54.99,"P",IF(AU21&lt;=59.99,"C",IF(AU21&lt;=64.99,"B",IF(AU21&lt;=69.99,"B+",IF(AU21&lt;=74.99,"A",IF(AU21&lt;=79.99,"A+","O")))))))</f>
        <v>A+</v>
      </c>
      <c r="AW21" s="18" t="str">
        <f>IF(AU21&lt;50,"0",IF(AU21&lt;=54.99,"4",IF(AU21&lt;=59.99,"5",IF(AU21&lt;=64.99,"6",IF(AU21&lt;=69.99,"7",IF(AU21&lt;=74.99,"8",IF(AU21&lt;=79.99,"9","10")))))))</f>
        <v>9</v>
      </c>
      <c r="AX21" s="28">
        <v>4</v>
      </c>
      <c r="AY21" s="29">
        <f>AW21*AX21</f>
        <v>36</v>
      </c>
      <c r="AZ21" s="22">
        <f>'[10]8th Subject'!$C98</f>
        <v>29</v>
      </c>
      <c r="BA21" s="22">
        <f>'[10]8th Subject'!$D98</f>
        <v>46</v>
      </c>
      <c r="BB21" s="27">
        <f>BA21+AZ21</f>
        <v>75</v>
      </c>
      <c r="BC21" s="18" t="str">
        <f>IF(BB21&lt;50,"F",IF(BB21&lt;=54.99,"P",IF(BB21&lt;=59.99,"C",IF(BB21&lt;=64.99,"B",IF(BB21&lt;=69.99,"B+",IF(BB21&lt;=74.99,"A",IF(BB21&lt;=79.99,"A+","O")))))))</f>
        <v>A+</v>
      </c>
      <c r="BD21" s="18" t="str">
        <f>IF(BB21&lt;50,"0",IF(BB21&lt;=54.99,"4",IF(BB21&lt;=59.99,"5",IF(BB21&lt;=64.99,"6",IF(BB21&lt;=69.99,"7",IF(BB21&lt;=74.99,"8",IF(BB21&lt;=79.99,"9","10")))))))</f>
        <v>9</v>
      </c>
      <c r="BE21" s="28">
        <v>4</v>
      </c>
      <c r="BF21" s="29">
        <f>BD21*BE21</f>
        <v>36</v>
      </c>
      <c r="BG21" s="27">
        <f>AZ21+AS21+AE21+X21+J21+C21+Q21+AL21</f>
        <v>232</v>
      </c>
      <c r="BH21" s="27">
        <f>BA21+AT21+AF21+Y21+K21+D21+R21+AM21</f>
        <v>368</v>
      </c>
      <c r="BI21" s="27">
        <f>BH21+BG21</f>
        <v>600</v>
      </c>
      <c r="BJ21" s="30">
        <f>G21+N21+U21+AB21+AI21+AP21+BD21+AW21</f>
        <v>72</v>
      </c>
      <c r="BK21" s="30">
        <f>I21+P21+W21+AD21+AK21+AY21+BF21+AR21</f>
        <v>288</v>
      </c>
      <c r="BL21" s="25">
        <f>(BN21-0.75)*10</f>
        <v>82.5</v>
      </c>
      <c r="BM21" s="17" t="str">
        <f>IF(OR(C21&lt;20,D21&lt;30,J21&lt;20,K21&lt;30,Q21&lt;20,R21&lt;30,X21&lt;20,Y21&lt;30,AE21&lt;20,AF21&lt;30,AL21&lt;20,AM21&lt;30,AS21&lt;20,AT21&lt;30,AZ21&lt;20,BA21&lt;30),"Unsuccessful","Successful")</f>
        <v>Successful</v>
      </c>
      <c r="BN21" s="31">
        <f>BK21/32</f>
        <v>9</v>
      </c>
      <c r="BO21" s="18" t="str">
        <f>IF(BN21&lt;=4,"F",IF(BN21&lt;=4.5,"P",IF(BN21&lt;=5.5,"C",IF(BN21&lt;=6.5,"B",IF(BN21&lt;=7.5,"B+",IF(BN21&lt;=8.5,"A",IF(BN21&lt;=9.5,"A+","O")))))))</f>
        <v>A+</v>
      </c>
      <c r="BP21" s="14" t="str">
        <f>IF(BN21&lt;=4,"50",IF(BN21&lt;=4.5,"50-54.99",IF(BN21&lt;=5.5,"55-59.99",IF(BN21&lt;=6.5,"60-64.99",IF(BN21&lt;=7.5,"65-69.99",IF(BN21&lt;=8.5,"70-74.99",IF(BN21&lt;=9.5,"75-79.99","10")))))))</f>
        <v>75-79.99</v>
      </c>
      <c r="BS21">
        <f>RANK(BN21,$BN$3:$BN$135)</f>
        <v>2</v>
      </c>
    </row>
    <row r="22" spans="1:71" x14ac:dyDescent="0.25">
      <c r="A22" s="14" t="str">
        <f>[2]Sheet1!$A108</f>
        <v>MMS18-20/107</v>
      </c>
      <c r="B22" s="15" t="str">
        <f>[2]Sheet1!$B108</f>
        <v>/SWAMY VIOLET BENEDICT JULIET</v>
      </c>
      <c r="C22" s="16">
        <f>'[3]1st Subject'!$C109</f>
        <v>29</v>
      </c>
      <c r="D22" s="16">
        <f>'[3]1st Subject'!$D109</f>
        <v>46</v>
      </c>
      <c r="E22" s="27">
        <f>D22+C22</f>
        <v>75</v>
      </c>
      <c r="F22" s="18" t="str">
        <f>IF(E22&lt;50,"F",IF(E22&lt;=54.99,"P",IF(E22&lt;=59.99,"C",IF(E22&lt;=64.99,"B",IF(E22&lt;=69.99,"B+",IF(E22&lt;=74.99,"A",IF(E22&lt;=79.99,"A+","O")))))))</f>
        <v>A+</v>
      </c>
      <c r="G22" s="18" t="str">
        <f>IF(E22&lt;50,"0",IF(E22&lt;=54.99,"4",IF(E22&lt;=59.99,"5",IF(E22&lt;=64.99,"6",IF(E22&lt;=69.99,"7",IF(E22&lt;=74.99,"8",IF(E22&lt;=79.99,"9","10")))))))</f>
        <v>9</v>
      </c>
      <c r="H22" s="28">
        <v>4</v>
      </c>
      <c r="I22" s="29">
        <f>G22*H22</f>
        <v>36</v>
      </c>
      <c r="J22" s="16">
        <f>'[4]2nd Subject'!$C109</f>
        <v>29</v>
      </c>
      <c r="K22" s="16">
        <f>'[4]2nd Subject'!$D109</f>
        <v>46</v>
      </c>
      <c r="L22" s="27">
        <f>K22+J22</f>
        <v>75</v>
      </c>
      <c r="M22" s="18" t="str">
        <f>IF(L22&lt;50,"F",IF(L22&lt;=54.99,"P",IF(L22&lt;=59.99,"C",IF(L22&lt;=64.99,"B",IF(L22&lt;=69.99,"B+",IF(L22&lt;=74.99,"A",IF(L22&lt;=79.99,"A+","O")))))))</f>
        <v>A+</v>
      </c>
      <c r="N22" s="18" t="str">
        <f>IF(L22&lt;50,"0",IF(L22&lt;=54.99,"4",IF(L22&lt;=59.99,"5",IF(L22&lt;=64.99,"6",IF(L22&lt;=69.99,"7",IF(L22&lt;=74.99,"8",IF(L22&lt;=79.99,"9","10")))))))</f>
        <v>9</v>
      </c>
      <c r="O22" s="28">
        <v>4</v>
      </c>
      <c r="P22" s="29">
        <f>N22*O22</f>
        <v>36</v>
      </c>
      <c r="Q22" s="21">
        <f>'[5]3rd Subject'!$C109</f>
        <v>29</v>
      </c>
      <c r="R22" s="21">
        <f>'[5]3rd Subject'!$D109</f>
        <v>46</v>
      </c>
      <c r="S22" s="27">
        <f>R22+Q22</f>
        <v>75</v>
      </c>
      <c r="T22" s="18" t="str">
        <f>IF(S22&lt;50,"F",IF(S22&lt;=54.99,"P",IF(S22&lt;=59.99,"C",IF(S22&lt;=64.99,"B",IF(S22&lt;=69.99,"B+",IF(S22&lt;=74.99,"A",IF(S22&lt;=79.99,"A+","O")))))))</f>
        <v>A+</v>
      </c>
      <c r="U22" s="18" t="str">
        <f>IF(S22&lt;50,"0",IF(S22&lt;=54.99,"4",IF(S22&lt;=59.99,"5",IF(S22&lt;=64.99,"6",IF(S22&lt;=69.99,"7",IF(S22&lt;=74.99,"8",IF(S22&lt;=79.99,"9","10")))))))</f>
        <v>9</v>
      </c>
      <c r="V22" s="28">
        <v>4</v>
      </c>
      <c r="W22" s="29">
        <f>U22*V22</f>
        <v>36</v>
      </c>
      <c r="X22" s="22">
        <f>'[6]4th Subject'!$C109</f>
        <v>29</v>
      </c>
      <c r="Y22" s="23">
        <f>'[6]4th Subject'!$D109</f>
        <v>46</v>
      </c>
      <c r="Z22" s="27">
        <f>Y22+X22</f>
        <v>75</v>
      </c>
      <c r="AA22" s="18" t="str">
        <f>IF(Z22&lt;50,"F",IF(Z22&lt;=54.99,"P",IF(Z22&lt;=59.99,"C",IF(Z22&lt;=64.99,"B",IF(Z22&lt;=69.99,"B+",IF(Z22&lt;=74.99,"A",IF(Z22&lt;=79.99,"A+","O")))))))</f>
        <v>A+</v>
      </c>
      <c r="AB22" s="18" t="str">
        <f>IF(Z22&lt;50,"0",IF(Z22&lt;=54.99,"4",IF(Z22&lt;=59.99,"5",IF(Z22&lt;=64.99,"6",IF(Z22&lt;=69.99,"7",IF(Z22&lt;=74.99,"8",IF(Z22&lt;=79.99,"9","10")))))))</f>
        <v>9</v>
      </c>
      <c r="AC22" s="28">
        <v>4</v>
      </c>
      <c r="AD22" s="29">
        <f>AB22*AC22</f>
        <v>36</v>
      </c>
      <c r="AE22" s="22">
        <f>'[7]5th Subject'!$C109</f>
        <v>29</v>
      </c>
      <c r="AF22" s="23">
        <f>'[7]5th Subject'!$D109</f>
        <v>46</v>
      </c>
      <c r="AG22" s="27">
        <f>AF22+AE22</f>
        <v>75</v>
      </c>
      <c r="AH22" s="18" t="str">
        <f>IF(AG22&lt;50,"F",IF(AG22&lt;=54.99,"P",IF(AG22&lt;=59.99,"C",IF(AG22&lt;=64.99,"B",IF(AG22&lt;=69.99,"B+",IF(AG22&lt;=74.99,"A",IF(AG22&lt;=79.99,"A+","O")))))))</f>
        <v>A+</v>
      </c>
      <c r="AI22" s="18" t="str">
        <f>IF(AG22&lt;50,"0",IF(AG22&lt;=54.99,"4",IF(AG22&lt;=59.99,"5",IF(AG22&lt;=64.99,"6",IF(AG22&lt;=69.99,"7",IF(AG22&lt;=74.99,"8",IF(AG22&lt;=79.99,"9","10")))))))</f>
        <v>9</v>
      </c>
      <c r="AJ22" s="28">
        <v>4</v>
      </c>
      <c r="AK22" s="29">
        <f>AI22*AJ22</f>
        <v>36</v>
      </c>
      <c r="AL22" s="22">
        <f>'[8]6th Subject'!$C109</f>
        <v>29</v>
      </c>
      <c r="AM22" s="22">
        <f>'[8]6th Subject'!$D109</f>
        <v>46</v>
      </c>
      <c r="AN22" s="27">
        <f>AM22+AL22</f>
        <v>75</v>
      </c>
      <c r="AO22" s="18" t="str">
        <f>IF(AN22&lt;50,"F",IF(AN22&lt;=54.99,"P",IF(AN22&lt;=59.99,"C",IF(AN22&lt;=64.99,"B",IF(AN22&lt;=69.99,"B+",IF(AN22&lt;=74.99,"A",IF(AN22&lt;=79.99,"A+","O")))))))</f>
        <v>A+</v>
      </c>
      <c r="AP22" s="18" t="str">
        <f>IF(AN22&lt;50,"0",IF(AN22&lt;=54.99,"4",IF(AN22&lt;=59.99,"5",IF(AN22&lt;=64.99,"6",IF(AN22&lt;=69.99,"7",IF(AN22&lt;=74.99,"8",IF(AN22&lt;=79.99,"9","10")))))))</f>
        <v>9</v>
      </c>
      <c r="AQ22" s="28">
        <v>4</v>
      </c>
      <c r="AR22" s="29">
        <f>AP22*AQ22</f>
        <v>36</v>
      </c>
      <c r="AS22" s="16">
        <f>'[9]7th Subject'!$C109</f>
        <v>29</v>
      </c>
      <c r="AT22" s="16">
        <f>'[9]7th Subject'!$D109</f>
        <v>46</v>
      </c>
      <c r="AU22" s="27">
        <f>AT22+AS22</f>
        <v>75</v>
      </c>
      <c r="AV22" s="18" t="str">
        <f>IF(AU22&lt;50,"F",IF(AU22&lt;=54.99,"P",IF(AU22&lt;=59.99,"C",IF(AU22&lt;=64.99,"B",IF(AU22&lt;=69.99,"B+",IF(AU22&lt;=74.99,"A",IF(AU22&lt;=79.99,"A+","O")))))))</f>
        <v>A+</v>
      </c>
      <c r="AW22" s="18" t="str">
        <f>IF(AU22&lt;50,"0",IF(AU22&lt;=54.99,"4",IF(AU22&lt;=59.99,"5",IF(AU22&lt;=64.99,"6",IF(AU22&lt;=69.99,"7",IF(AU22&lt;=74.99,"8",IF(AU22&lt;=79.99,"9","10")))))))</f>
        <v>9</v>
      </c>
      <c r="AX22" s="28">
        <v>4</v>
      </c>
      <c r="AY22" s="29">
        <f>AW22*AX22</f>
        <v>36</v>
      </c>
      <c r="AZ22" s="22">
        <f>'[10]8th Subject'!$C109</f>
        <v>29</v>
      </c>
      <c r="BA22" s="22">
        <f>'[10]8th Subject'!$D109</f>
        <v>46</v>
      </c>
      <c r="BB22" s="27">
        <f>BA22+AZ22</f>
        <v>75</v>
      </c>
      <c r="BC22" s="18" t="str">
        <f>IF(BB22&lt;50,"F",IF(BB22&lt;=54.99,"P",IF(BB22&lt;=59.99,"C",IF(BB22&lt;=64.99,"B",IF(BB22&lt;=69.99,"B+",IF(BB22&lt;=74.99,"A",IF(BB22&lt;=79.99,"A+","O")))))))</f>
        <v>A+</v>
      </c>
      <c r="BD22" s="18" t="str">
        <f>IF(BB22&lt;50,"0",IF(BB22&lt;=54.99,"4",IF(BB22&lt;=59.99,"5",IF(BB22&lt;=64.99,"6",IF(BB22&lt;=69.99,"7",IF(BB22&lt;=74.99,"8",IF(BB22&lt;=79.99,"9","10")))))))</f>
        <v>9</v>
      </c>
      <c r="BE22" s="28">
        <v>4</v>
      </c>
      <c r="BF22" s="29">
        <f>BD22*BE22</f>
        <v>36</v>
      </c>
      <c r="BG22" s="27">
        <f>AZ22+AS22+AE22+X22+J22+C22+Q22+AL22</f>
        <v>232</v>
      </c>
      <c r="BH22" s="27">
        <f>BA22+AT22+AF22+Y22+K22+D22+R22+AM22</f>
        <v>368</v>
      </c>
      <c r="BI22" s="27">
        <f>BH22+BG22</f>
        <v>600</v>
      </c>
      <c r="BJ22" s="30">
        <f>G22+N22+U22+AB22+AI22+AP22+BD22+AW22</f>
        <v>72</v>
      </c>
      <c r="BK22" s="30">
        <f>I22+P22+W22+AD22+AK22+AY22+BF22+AR22</f>
        <v>288</v>
      </c>
      <c r="BL22" s="25">
        <f>(BN22-0.75)*10</f>
        <v>82.5</v>
      </c>
      <c r="BM22" s="17" t="str">
        <f>IF(OR(C22&lt;20,D22&lt;30,J22&lt;20,K22&lt;30,Q22&lt;20,R22&lt;30,X22&lt;20,Y22&lt;30,AE22&lt;20,AF22&lt;30,AL22&lt;20,AM22&lt;30,AS22&lt;20,AT22&lt;30,AZ22&lt;20,BA22&lt;30),"Unsuccessful","Successful")</f>
        <v>Successful</v>
      </c>
      <c r="BN22" s="31">
        <f>BK22/32</f>
        <v>9</v>
      </c>
      <c r="BO22" s="18" t="str">
        <f>IF(BN22&lt;=4,"F",IF(BN22&lt;=4.5,"P",IF(BN22&lt;=5.5,"C",IF(BN22&lt;=6.5,"B",IF(BN22&lt;=7.5,"B+",IF(BN22&lt;=8.5,"A",IF(BN22&lt;=9.5,"A+","O")))))))</f>
        <v>A+</v>
      </c>
      <c r="BP22" s="14" t="str">
        <f>IF(BN22&lt;=4,"50",IF(BN22&lt;=4.5,"50-54.99",IF(BN22&lt;=5.5,"55-59.99",IF(BN22&lt;=6.5,"60-64.99",IF(BN22&lt;=7.5,"65-69.99",IF(BN22&lt;=8.5,"70-74.99",IF(BN22&lt;=9.5,"75-79.99","10")))))))</f>
        <v>75-79.99</v>
      </c>
      <c r="BS22">
        <f>RANK(BN22,$BN$3:$BN$135)</f>
        <v>2</v>
      </c>
    </row>
    <row r="23" spans="1:71" x14ac:dyDescent="0.25">
      <c r="A23" s="14" t="str">
        <f>[2]Sheet1!$A119</f>
        <v>MMS18-20/118</v>
      </c>
      <c r="B23" s="15" t="str">
        <f>[2]Sheet1!$B119</f>
        <v>YADAV ANUSH MAHANTA MALTI</v>
      </c>
      <c r="C23" s="16">
        <f>'[3]1st Subject'!$C120</f>
        <v>29</v>
      </c>
      <c r="D23" s="16">
        <f>'[3]1st Subject'!$D120</f>
        <v>46</v>
      </c>
      <c r="E23" s="27">
        <f>D23+C23</f>
        <v>75</v>
      </c>
      <c r="F23" s="18" t="str">
        <f>IF(E23&lt;50,"F",IF(E23&lt;=54.99,"P",IF(E23&lt;=59.99,"C",IF(E23&lt;=64.99,"B",IF(E23&lt;=69.99,"B+",IF(E23&lt;=74.99,"A",IF(E23&lt;=79.99,"A+","O")))))))</f>
        <v>A+</v>
      </c>
      <c r="G23" s="18" t="str">
        <f>IF(E23&lt;50,"0",IF(E23&lt;=54.99,"4",IF(E23&lt;=59.99,"5",IF(E23&lt;=64.99,"6",IF(E23&lt;=69.99,"7",IF(E23&lt;=74.99,"8",IF(E23&lt;=79.99,"9","10")))))))</f>
        <v>9</v>
      </c>
      <c r="H23" s="28">
        <v>4</v>
      </c>
      <c r="I23" s="29">
        <f>G23*H23</f>
        <v>36</v>
      </c>
      <c r="J23" s="16">
        <f>'[4]2nd Subject'!$C120</f>
        <v>29</v>
      </c>
      <c r="K23" s="16">
        <f>'[4]2nd Subject'!$D120</f>
        <v>46</v>
      </c>
      <c r="L23" s="27">
        <f>K23+J23</f>
        <v>75</v>
      </c>
      <c r="M23" s="18" t="str">
        <f>IF(L23&lt;50,"F",IF(L23&lt;=54.99,"P",IF(L23&lt;=59.99,"C",IF(L23&lt;=64.99,"B",IF(L23&lt;=69.99,"B+",IF(L23&lt;=74.99,"A",IF(L23&lt;=79.99,"A+","O")))))))</f>
        <v>A+</v>
      </c>
      <c r="N23" s="18" t="str">
        <f>IF(L23&lt;50,"0",IF(L23&lt;=54.99,"4",IF(L23&lt;=59.99,"5",IF(L23&lt;=64.99,"6",IF(L23&lt;=69.99,"7",IF(L23&lt;=74.99,"8",IF(L23&lt;=79.99,"9","10")))))))</f>
        <v>9</v>
      </c>
      <c r="O23" s="28">
        <v>4</v>
      </c>
      <c r="P23" s="29">
        <f>N23*O23</f>
        <v>36</v>
      </c>
      <c r="Q23" s="21">
        <f>'[5]3rd Subject'!$C120</f>
        <v>29</v>
      </c>
      <c r="R23" s="21">
        <f>'[5]3rd Subject'!$D120</f>
        <v>46</v>
      </c>
      <c r="S23" s="27">
        <f>R23+Q23</f>
        <v>75</v>
      </c>
      <c r="T23" s="18" t="str">
        <f>IF(S23&lt;50,"F",IF(S23&lt;=54.99,"P",IF(S23&lt;=59.99,"C",IF(S23&lt;=64.99,"B",IF(S23&lt;=69.99,"B+",IF(S23&lt;=74.99,"A",IF(S23&lt;=79.99,"A+","O")))))))</f>
        <v>A+</v>
      </c>
      <c r="U23" s="18" t="str">
        <f>IF(S23&lt;50,"0",IF(S23&lt;=54.99,"4",IF(S23&lt;=59.99,"5",IF(S23&lt;=64.99,"6",IF(S23&lt;=69.99,"7",IF(S23&lt;=74.99,"8",IF(S23&lt;=79.99,"9","10")))))))</f>
        <v>9</v>
      </c>
      <c r="V23" s="28">
        <v>4</v>
      </c>
      <c r="W23" s="29">
        <f>U23*V23</f>
        <v>36</v>
      </c>
      <c r="X23" s="22">
        <f>'[6]4th Subject'!$C120</f>
        <v>29</v>
      </c>
      <c r="Y23" s="23">
        <f>'[6]4th Subject'!$D120</f>
        <v>46</v>
      </c>
      <c r="Z23" s="27">
        <f>Y23+X23</f>
        <v>75</v>
      </c>
      <c r="AA23" s="18" t="str">
        <f>IF(Z23&lt;50,"F",IF(Z23&lt;=54.99,"P",IF(Z23&lt;=59.99,"C",IF(Z23&lt;=64.99,"B",IF(Z23&lt;=69.99,"B+",IF(Z23&lt;=74.99,"A",IF(Z23&lt;=79.99,"A+","O")))))))</f>
        <v>A+</v>
      </c>
      <c r="AB23" s="18" t="str">
        <f>IF(Z23&lt;50,"0",IF(Z23&lt;=54.99,"4",IF(Z23&lt;=59.99,"5",IF(Z23&lt;=64.99,"6",IF(Z23&lt;=69.99,"7",IF(Z23&lt;=74.99,"8",IF(Z23&lt;=79.99,"9","10")))))))</f>
        <v>9</v>
      </c>
      <c r="AC23" s="28">
        <v>4</v>
      </c>
      <c r="AD23" s="29">
        <f>AB23*AC23</f>
        <v>36</v>
      </c>
      <c r="AE23" s="22">
        <f>'[7]5th Subject'!$C120</f>
        <v>29</v>
      </c>
      <c r="AF23" s="23">
        <f>'[7]5th Subject'!$D120</f>
        <v>46</v>
      </c>
      <c r="AG23" s="27">
        <f>AF23+AE23</f>
        <v>75</v>
      </c>
      <c r="AH23" s="18" t="str">
        <f>IF(AG23&lt;50,"F",IF(AG23&lt;=54.99,"P",IF(AG23&lt;=59.99,"C",IF(AG23&lt;=64.99,"B",IF(AG23&lt;=69.99,"B+",IF(AG23&lt;=74.99,"A",IF(AG23&lt;=79.99,"A+","O")))))))</f>
        <v>A+</v>
      </c>
      <c r="AI23" s="18" t="str">
        <f>IF(AG23&lt;50,"0",IF(AG23&lt;=54.99,"4",IF(AG23&lt;=59.99,"5",IF(AG23&lt;=64.99,"6",IF(AG23&lt;=69.99,"7",IF(AG23&lt;=74.99,"8",IF(AG23&lt;=79.99,"9","10")))))))</f>
        <v>9</v>
      </c>
      <c r="AJ23" s="28">
        <v>4</v>
      </c>
      <c r="AK23" s="29">
        <f>AI23*AJ23</f>
        <v>36</v>
      </c>
      <c r="AL23" s="22">
        <f>'[8]6th Subject'!$C120</f>
        <v>29</v>
      </c>
      <c r="AM23" s="22">
        <f>'[8]6th Subject'!$D120</f>
        <v>46</v>
      </c>
      <c r="AN23" s="27">
        <f>AM23+AL23</f>
        <v>75</v>
      </c>
      <c r="AO23" s="18" t="str">
        <f>IF(AN23&lt;50,"F",IF(AN23&lt;=54.99,"P",IF(AN23&lt;=59.99,"C",IF(AN23&lt;=64.99,"B",IF(AN23&lt;=69.99,"B+",IF(AN23&lt;=74.99,"A",IF(AN23&lt;=79.99,"A+","O")))))))</f>
        <v>A+</v>
      </c>
      <c r="AP23" s="18" t="str">
        <f>IF(AN23&lt;50,"0",IF(AN23&lt;=54.99,"4",IF(AN23&lt;=59.99,"5",IF(AN23&lt;=64.99,"6",IF(AN23&lt;=69.99,"7",IF(AN23&lt;=74.99,"8",IF(AN23&lt;=79.99,"9","10")))))))</f>
        <v>9</v>
      </c>
      <c r="AQ23" s="28">
        <v>4</v>
      </c>
      <c r="AR23" s="29">
        <f>AP23*AQ23</f>
        <v>36</v>
      </c>
      <c r="AS23" s="16">
        <f>'[9]7th Subject'!$C120</f>
        <v>29</v>
      </c>
      <c r="AT23" s="16">
        <f>'[9]7th Subject'!$D120</f>
        <v>46</v>
      </c>
      <c r="AU23" s="27">
        <f>AT23+AS23</f>
        <v>75</v>
      </c>
      <c r="AV23" s="18" t="str">
        <f>IF(AU23&lt;50,"F",IF(AU23&lt;=54.99,"P",IF(AU23&lt;=59.99,"C",IF(AU23&lt;=64.99,"B",IF(AU23&lt;=69.99,"B+",IF(AU23&lt;=74.99,"A",IF(AU23&lt;=79.99,"A+","O")))))))</f>
        <v>A+</v>
      </c>
      <c r="AW23" s="18" t="str">
        <f>IF(AU23&lt;50,"0",IF(AU23&lt;=54.99,"4",IF(AU23&lt;=59.99,"5",IF(AU23&lt;=64.99,"6",IF(AU23&lt;=69.99,"7",IF(AU23&lt;=74.99,"8",IF(AU23&lt;=79.99,"9","10")))))))</f>
        <v>9</v>
      </c>
      <c r="AX23" s="28">
        <v>4</v>
      </c>
      <c r="AY23" s="29">
        <f>AW23*AX23</f>
        <v>36</v>
      </c>
      <c r="AZ23" s="22">
        <f>'[10]8th Subject'!$C120</f>
        <v>29</v>
      </c>
      <c r="BA23" s="22">
        <f>'[10]8th Subject'!$D120</f>
        <v>46</v>
      </c>
      <c r="BB23" s="27">
        <f>BA23+AZ23</f>
        <v>75</v>
      </c>
      <c r="BC23" s="18" t="str">
        <f>IF(BB23&lt;50,"F",IF(BB23&lt;=54.99,"P",IF(BB23&lt;=59.99,"C",IF(BB23&lt;=64.99,"B",IF(BB23&lt;=69.99,"B+",IF(BB23&lt;=74.99,"A",IF(BB23&lt;=79.99,"A+","O")))))))</f>
        <v>A+</v>
      </c>
      <c r="BD23" s="18" t="str">
        <f>IF(BB23&lt;50,"0",IF(BB23&lt;=54.99,"4",IF(BB23&lt;=59.99,"5",IF(BB23&lt;=64.99,"6",IF(BB23&lt;=69.99,"7",IF(BB23&lt;=74.99,"8",IF(BB23&lt;=79.99,"9","10")))))))</f>
        <v>9</v>
      </c>
      <c r="BE23" s="28">
        <v>4</v>
      </c>
      <c r="BF23" s="29">
        <f>BD23*BE23</f>
        <v>36</v>
      </c>
      <c r="BG23" s="27">
        <f>AZ23+AS23+AE23+X23+J23+C23+Q23+AL23</f>
        <v>232</v>
      </c>
      <c r="BH23" s="27">
        <f>BA23+AT23+AF23+Y23+K23+D23+R23+AM23</f>
        <v>368</v>
      </c>
      <c r="BI23" s="27">
        <f>BH23+BG23</f>
        <v>600</v>
      </c>
      <c r="BJ23" s="30">
        <f>G23+N23+U23+AB23+AI23+AP23+BD23+AW23</f>
        <v>72</v>
      </c>
      <c r="BK23" s="30">
        <f>I23+P23+W23+AD23+AK23+AY23+BF23+AR23</f>
        <v>288</v>
      </c>
      <c r="BL23" s="25">
        <f>(BN23-0.75)*10</f>
        <v>82.5</v>
      </c>
      <c r="BM23" s="17" t="str">
        <f>IF(OR(C23&lt;20,D23&lt;30,J23&lt;20,K23&lt;30,Q23&lt;20,R23&lt;30,X23&lt;20,Y23&lt;30,AE23&lt;20,AF23&lt;30,AL23&lt;20,AM23&lt;30,AS23&lt;20,AT23&lt;30,AZ23&lt;20,BA23&lt;30),"Unsuccessful","Successful")</f>
        <v>Successful</v>
      </c>
      <c r="BN23" s="31">
        <f>BK23/32</f>
        <v>9</v>
      </c>
      <c r="BO23" s="18" t="str">
        <f>IF(BN23&lt;=4,"F",IF(BN23&lt;=4.5,"P",IF(BN23&lt;=5.5,"C",IF(BN23&lt;=6.5,"B",IF(BN23&lt;=7.5,"B+",IF(BN23&lt;=8.5,"A",IF(BN23&lt;=9.5,"A+","O")))))))</f>
        <v>A+</v>
      </c>
      <c r="BP23" s="14" t="str">
        <f>IF(BN23&lt;=4,"50",IF(BN23&lt;=4.5,"50-54.99",IF(BN23&lt;=5.5,"55-59.99",IF(BN23&lt;=6.5,"60-64.99",IF(BN23&lt;=7.5,"65-69.99",IF(BN23&lt;=8.5,"70-74.99",IF(BN23&lt;=9.5,"75-79.99","10")))))))</f>
        <v>75-79.99</v>
      </c>
      <c r="BS23">
        <f>RANK(BN23,$BN$3:$BN$135)</f>
        <v>2</v>
      </c>
    </row>
    <row r="24" spans="1:71" x14ac:dyDescent="0.25">
      <c r="A24" s="14" t="str">
        <f>[2]Sheet1!$A5</f>
        <v>MMS18-20/004</v>
      </c>
      <c r="B24" s="15" t="str">
        <f>[2]Sheet1!$B5</f>
        <v>/AMIN MEENAL PRAVIN ANITA</v>
      </c>
      <c r="C24" s="16">
        <f>'[3]1st Subject'!$C6</f>
        <v>31</v>
      </c>
      <c r="D24" s="16">
        <f>'[3]1st Subject'!$D6</f>
        <v>41</v>
      </c>
      <c r="E24" s="27">
        <f>D24+C24</f>
        <v>72</v>
      </c>
      <c r="F24" s="18" t="str">
        <f>IF(E24&lt;50,"F",IF(E24&lt;=54.99,"P",IF(E24&lt;=59.99,"C",IF(E24&lt;=64.99,"B",IF(E24&lt;=69.99,"B+",IF(E24&lt;=74.99,"A",IF(E24&lt;=79.99,"A+","O")))))))</f>
        <v>A</v>
      </c>
      <c r="G24" s="18" t="str">
        <f>IF(E24&lt;50,"0",IF(E24&lt;=54.99,"4",IF(E24&lt;=59.99,"5",IF(E24&lt;=64.99,"6",IF(E24&lt;=69.99,"7",IF(E24&lt;=74.99,"8",IF(E24&lt;=79.99,"9","10")))))))</f>
        <v>8</v>
      </c>
      <c r="H24" s="28">
        <v>4</v>
      </c>
      <c r="I24" s="29">
        <f>G24*H24</f>
        <v>32</v>
      </c>
      <c r="J24" s="16">
        <f>'[4]2nd Subject'!$C6</f>
        <v>31</v>
      </c>
      <c r="K24" s="16">
        <f>'[4]2nd Subject'!$D6</f>
        <v>45</v>
      </c>
      <c r="L24" s="27">
        <f>K24+J24</f>
        <v>76</v>
      </c>
      <c r="M24" s="18" t="str">
        <f>IF(L24&lt;50,"F",IF(L24&lt;=54.99,"P",IF(L24&lt;=59.99,"C",IF(L24&lt;=64.99,"B",IF(L24&lt;=69.99,"B+",IF(L24&lt;=74.99,"A",IF(L24&lt;=79.99,"A+","O")))))))</f>
        <v>A+</v>
      </c>
      <c r="N24" s="18" t="str">
        <f>IF(L24&lt;50,"0",IF(L24&lt;=54.99,"4",IF(L24&lt;=59.99,"5",IF(L24&lt;=64.99,"6",IF(L24&lt;=69.99,"7",IF(L24&lt;=74.99,"8",IF(L24&lt;=79.99,"9","10")))))))</f>
        <v>9</v>
      </c>
      <c r="O24" s="28">
        <v>4</v>
      </c>
      <c r="P24" s="29">
        <f>N24*O24</f>
        <v>36</v>
      </c>
      <c r="Q24" s="21">
        <f>'[5]3rd Subject'!$C6</f>
        <v>31</v>
      </c>
      <c r="R24" s="21">
        <f>'[5]3rd Subject'!$D6</f>
        <v>45</v>
      </c>
      <c r="S24" s="27">
        <f>R24+Q24</f>
        <v>76</v>
      </c>
      <c r="T24" s="18" t="str">
        <f>IF(S24&lt;50,"F",IF(S24&lt;=54.99,"P",IF(S24&lt;=59.99,"C",IF(S24&lt;=64.99,"B",IF(S24&lt;=69.99,"B+",IF(S24&lt;=74.99,"A",IF(S24&lt;=79.99,"A+","O")))))))</f>
        <v>A+</v>
      </c>
      <c r="U24" s="18" t="str">
        <f>IF(S24&lt;50,"0",IF(S24&lt;=54.99,"4",IF(S24&lt;=59.99,"5",IF(S24&lt;=64.99,"6",IF(S24&lt;=69.99,"7",IF(S24&lt;=74.99,"8",IF(S24&lt;=79.99,"9","10")))))))</f>
        <v>9</v>
      </c>
      <c r="V24" s="28">
        <v>4</v>
      </c>
      <c r="W24" s="29">
        <f>U24*V24</f>
        <v>36</v>
      </c>
      <c r="X24" s="22">
        <f>'[6]4th Subject'!$C6</f>
        <v>31</v>
      </c>
      <c r="Y24" s="23">
        <f>'[6]4th Subject'!$D6</f>
        <v>45</v>
      </c>
      <c r="Z24" s="27">
        <f>Y24+X24</f>
        <v>76</v>
      </c>
      <c r="AA24" s="18" t="str">
        <f>IF(Z24&lt;50,"F",IF(Z24&lt;=54.99,"P",IF(Z24&lt;=59.99,"C",IF(Z24&lt;=64.99,"B",IF(Z24&lt;=69.99,"B+",IF(Z24&lt;=74.99,"A",IF(Z24&lt;=79.99,"A+","O")))))))</f>
        <v>A+</v>
      </c>
      <c r="AB24" s="18" t="str">
        <f>IF(Z24&lt;50,"0",IF(Z24&lt;=54.99,"4",IF(Z24&lt;=59.99,"5",IF(Z24&lt;=64.99,"6",IF(Z24&lt;=69.99,"7",IF(Z24&lt;=74.99,"8",IF(Z24&lt;=79.99,"9","10")))))))</f>
        <v>9</v>
      </c>
      <c r="AC24" s="28">
        <v>4</v>
      </c>
      <c r="AD24" s="29">
        <f>AB24*AC24</f>
        <v>36</v>
      </c>
      <c r="AE24" s="22">
        <f>'[7]5th Subject'!$C6</f>
        <v>31</v>
      </c>
      <c r="AF24" s="23">
        <f>'[7]5th Subject'!$D6</f>
        <v>45</v>
      </c>
      <c r="AG24" s="27">
        <f>AF24+AE24</f>
        <v>76</v>
      </c>
      <c r="AH24" s="18" t="str">
        <f>IF(AG24&lt;50,"F",IF(AG24&lt;=54.99,"P",IF(AG24&lt;=59.99,"C",IF(AG24&lt;=64.99,"B",IF(AG24&lt;=69.99,"B+",IF(AG24&lt;=74.99,"A",IF(AG24&lt;=79.99,"A+","O")))))))</f>
        <v>A+</v>
      </c>
      <c r="AI24" s="18" t="str">
        <f>IF(AG24&lt;50,"0",IF(AG24&lt;=54.99,"4",IF(AG24&lt;=59.99,"5",IF(AG24&lt;=64.99,"6",IF(AG24&lt;=69.99,"7",IF(AG24&lt;=74.99,"8",IF(AG24&lt;=79.99,"9","10")))))))</f>
        <v>9</v>
      </c>
      <c r="AJ24" s="28">
        <v>4</v>
      </c>
      <c r="AK24" s="29">
        <f>AI24*AJ24</f>
        <v>36</v>
      </c>
      <c r="AL24" s="22">
        <f>'[8]6th Subject'!$C6</f>
        <v>31</v>
      </c>
      <c r="AM24" s="22">
        <f>'[8]6th Subject'!$D6</f>
        <v>45</v>
      </c>
      <c r="AN24" s="27">
        <f>AM24+AL24</f>
        <v>76</v>
      </c>
      <c r="AO24" s="18" t="str">
        <f>IF(AN24&lt;50,"F",IF(AN24&lt;=54.99,"P",IF(AN24&lt;=59.99,"C",IF(AN24&lt;=64.99,"B",IF(AN24&lt;=69.99,"B+",IF(AN24&lt;=74.99,"A",IF(AN24&lt;=79.99,"A+","O")))))))</f>
        <v>A+</v>
      </c>
      <c r="AP24" s="18" t="str">
        <f>IF(AN24&lt;50,"0",IF(AN24&lt;=54.99,"4",IF(AN24&lt;=59.99,"5",IF(AN24&lt;=64.99,"6",IF(AN24&lt;=69.99,"7",IF(AN24&lt;=74.99,"8",IF(AN24&lt;=79.99,"9","10")))))))</f>
        <v>9</v>
      </c>
      <c r="AQ24" s="28">
        <v>4</v>
      </c>
      <c r="AR24" s="29">
        <f>AP24*AQ24</f>
        <v>36</v>
      </c>
      <c r="AS24" s="16">
        <f>'[9]7th Subject'!$C6</f>
        <v>31</v>
      </c>
      <c r="AT24" s="16">
        <f>'[9]7th Subject'!$D6</f>
        <v>45</v>
      </c>
      <c r="AU24" s="27">
        <f>AT24+AS24</f>
        <v>76</v>
      </c>
      <c r="AV24" s="18" t="str">
        <f>IF(AU24&lt;50,"F",IF(AU24&lt;=54.99,"P",IF(AU24&lt;=59.99,"C",IF(AU24&lt;=64.99,"B",IF(AU24&lt;=69.99,"B+",IF(AU24&lt;=74.99,"A",IF(AU24&lt;=79.99,"A+","O")))))))</f>
        <v>A+</v>
      </c>
      <c r="AW24" s="18" t="str">
        <f>IF(AU24&lt;50,"0",IF(AU24&lt;=54.99,"4",IF(AU24&lt;=59.99,"5",IF(AU24&lt;=64.99,"6",IF(AU24&lt;=69.99,"7",IF(AU24&lt;=74.99,"8",IF(AU24&lt;=79.99,"9","10")))))))</f>
        <v>9</v>
      </c>
      <c r="AX24" s="28">
        <v>4</v>
      </c>
      <c r="AY24" s="29">
        <f>AW24*AX24</f>
        <v>36</v>
      </c>
      <c r="AZ24" s="22">
        <f>'[10]8th Subject'!$C6</f>
        <v>31</v>
      </c>
      <c r="BA24" s="22">
        <f>'[10]8th Subject'!$D6</f>
        <v>45</v>
      </c>
      <c r="BB24" s="27">
        <f>BA24+AZ24</f>
        <v>76</v>
      </c>
      <c r="BC24" s="18" t="str">
        <f>IF(BB24&lt;50,"F",IF(BB24&lt;=54.99,"P",IF(BB24&lt;=59.99,"C",IF(BB24&lt;=64.99,"B",IF(BB24&lt;=69.99,"B+",IF(BB24&lt;=74.99,"A",IF(BB24&lt;=79.99,"A+","O")))))))</f>
        <v>A+</v>
      </c>
      <c r="BD24" s="18" t="str">
        <f>IF(BB24&lt;50,"0",IF(BB24&lt;=54.99,"4",IF(BB24&lt;=59.99,"5",IF(BB24&lt;=64.99,"6",IF(BB24&lt;=69.99,"7",IF(BB24&lt;=74.99,"8",IF(BB24&lt;=79.99,"9","10")))))))</f>
        <v>9</v>
      </c>
      <c r="BE24" s="28">
        <v>4</v>
      </c>
      <c r="BF24" s="29">
        <f>BD24*BE24</f>
        <v>36</v>
      </c>
      <c r="BG24" s="27">
        <f>AZ24+AS24+AE24+X24+J24+C24+Q24+AL24</f>
        <v>248</v>
      </c>
      <c r="BH24" s="27">
        <f>BA24+AT24+AF24+Y24+K24+D24+R24+AM24</f>
        <v>356</v>
      </c>
      <c r="BI24" s="27">
        <f>BH24+BG24</f>
        <v>604</v>
      </c>
      <c r="BJ24" s="30">
        <f>G24+N24+U24+AB24+AI24+AP24+BD24+AW24</f>
        <v>71</v>
      </c>
      <c r="BK24" s="30">
        <f>I24+P24+W24+AD24+AK24+AY24+BF24+AR24</f>
        <v>284</v>
      </c>
      <c r="BL24" s="25">
        <f>(BN24-0.75)*10</f>
        <v>81.25</v>
      </c>
      <c r="BM24" s="17" t="str">
        <f>IF(OR(C24&lt;20,D24&lt;30,J24&lt;20,K24&lt;30,Q24&lt;20,R24&lt;30,X24&lt;20,Y24&lt;30,AE24&lt;20,AF24&lt;30,AL24&lt;20,AM24&lt;30,AS24&lt;20,AT24&lt;30,AZ24&lt;20,BA24&lt;30),"Unsuccessful","Successful")</f>
        <v>Successful</v>
      </c>
      <c r="BN24" s="31">
        <f>BK24/32</f>
        <v>8.875</v>
      </c>
      <c r="BO24" s="18" t="str">
        <f>IF(BN24&lt;=4,"F",IF(BN24&lt;=4.5,"P",IF(BN24&lt;=5.5,"C",IF(BN24&lt;=6.5,"B",IF(BN24&lt;=7.5,"B+",IF(BN24&lt;=8.5,"A",IF(BN24&lt;=9.5,"A+","O")))))))</f>
        <v>A+</v>
      </c>
      <c r="BP24" s="14" t="str">
        <f>IF(BN24&lt;=4,"50",IF(BN24&lt;=4.5,"50-54.99",IF(BN24&lt;=5.5,"55-59.99",IF(BN24&lt;=6.5,"60-64.99",IF(BN24&lt;=7.5,"65-69.99",IF(BN24&lt;=8.5,"70-74.99",IF(BN24&lt;=9.5,"75-79.99","10")))))))</f>
        <v>75-79.99</v>
      </c>
      <c r="BS24">
        <f>RANK(BN24,$BN$3:$BN$135)</f>
        <v>22</v>
      </c>
    </row>
    <row r="25" spans="1:71" x14ac:dyDescent="0.25">
      <c r="A25" s="14" t="str">
        <f>[2]Sheet1!$A2</f>
        <v>MMS18-20/001</v>
      </c>
      <c r="B25" s="15" t="str">
        <f>[2]Sheet1!$B2</f>
        <v>ADEPU CHETAN GANESH ARCHANA</v>
      </c>
      <c r="C25" s="16">
        <f>'[3]1st Subject'!$C3</f>
        <v>10</v>
      </c>
      <c r="D25" s="16">
        <f>'[3]1st Subject'!$D3</f>
        <v>60</v>
      </c>
      <c r="E25" s="27">
        <f>D25+C25</f>
        <v>70</v>
      </c>
      <c r="F25" s="18" t="str">
        <f>IF(E25&lt;50,"F",IF(E25&lt;=54.99,"P",IF(E25&lt;=59.99,"C",IF(E25&lt;=64.99,"B",IF(E25&lt;=69.99,"B+",IF(E25&lt;=74.99,"A",IF(E25&lt;=79.99,"A+","O")))))))</f>
        <v>A</v>
      </c>
      <c r="G25" s="18" t="str">
        <f>IF(E25&lt;50,"0",IF(E25&lt;=54.99,"4",IF(E25&lt;=59.99,"5",IF(E25&lt;=64.99,"6",IF(E25&lt;=69.99,"7",IF(E25&lt;=74.99,"8",IF(E25&lt;=79.99,"9","10")))))))</f>
        <v>8</v>
      </c>
      <c r="H25" s="28">
        <v>4</v>
      </c>
      <c r="I25" s="29">
        <f>G25*H25</f>
        <v>32</v>
      </c>
      <c r="J25" s="16">
        <f>'[4]2nd Subject'!$C3</f>
        <v>38</v>
      </c>
      <c r="K25" s="16">
        <f>'[4]2nd Subject'!$D3</f>
        <v>56</v>
      </c>
      <c r="L25" s="27">
        <f>K25+J25</f>
        <v>94</v>
      </c>
      <c r="M25" s="18" t="str">
        <f>IF(L25&lt;50,"F",IF(L25&lt;=54.99,"P",IF(L25&lt;=59.99,"C",IF(L25&lt;=64.99,"B",IF(L25&lt;=69.99,"B+",IF(L25&lt;=74.99,"A",IF(L25&lt;=79.99,"A+","O")))))))</f>
        <v>O</v>
      </c>
      <c r="N25" s="18" t="str">
        <f>IF(L25&lt;50,"0",IF(L25&lt;=54.99,"4",IF(L25&lt;=59.99,"5",IF(L25&lt;=64.99,"6",IF(L25&lt;=69.99,"7",IF(L25&lt;=74.99,"8",IF(L25&lt;=79.99,"9","10")))))))</f>
        <v>10</v>
      </c>
      <c r="O25" s="28">
        <v>4</v>
      </c>
      <c r="P25" s="29">
        <f>N25*O25</f>
        <v>40</v>
      </c>
      <c r="Q25" s="21">
        <f>'[5]3rd Subject'!$C3</f>
        <v>30</v>
      </c>
      <c r="R25" s="21">
        <f>'[5]3rd Subject'!$D3</f>
        <v>40</v>
      </c>
      <c r="S25" s="27">
        <f>R25+Q25</f>
        <v>70</v>
      </c>
      <c r="T25" s="18" t="str">
        <f>IF(S25&lt;50,"F",IF(S25&lt;=54.99,"P",IF(S25&lt;=59.99,"C",IF(S25&lt;=64.99,"B",IF(S25&lt;=69.99,"B+",IF(S25&lt;=74.99,"A",IF(S25&lt;=79.99,"A+","O")))))))</f>
        <v>A</v>
      </c>
      <c r="U25" s="18" t="str">
        <f>IF(S25&lt;50,"0",IF(S25&lt;=54.99,"4",IF(S25&lt;=59.99,"5",IF(S25&lt;=64.99,"6",IF(S25&lt;=69.99,"7",IF(S25&lt;=74.99,"8",IF(S25&lt;=79.99,"9","10")))))))</f>
        <v>8</v>
      </c>
      <c r="V25" s="28">
        <v>4</v>
      </c>
      <c r="W25" s="29">
        <f>U25*V25</f>
        <v>32</v>
      </c>
      <c r="X25" s="22">
        <f>'[6]4th Subject'!$C3</f>
        <v>28</v>
      </c>
      <c r="Y25" s="23">
        <f>'[6]4th Subject'!$D3</f>
        <v>37</v>
      </c>
      <c r="Z25" s="27">
        <f>Y25+X25</f>
        <v>65</v>
      </c>
      <c r="AA25" s="18" t="str">
        <f>IF(Z25&lt;50,"F",IF(Z25&lt;=54.99,"P",IF(Z25&lt;=59.99,"C",IF(Z25&lt;=64.99,"B",IF(Z25&lt;=69.99,"B+",IF(Z25&lt;=74.99,"A",IF(Z25&lt;=79.99,"A+","O")))))))</f>
        <v>B+</v>
      </c>
      <c r="AB25" s="18" t="str">
        <f>IF(Z25&lt;50,"0",IF(Z25&lt;=54.99,"4",IF(Z25&lt;=59.99,"5",IF(Z25&lt;=64.99,"6",IF(Z25&lt;=69.99,"7",IF(Z25&lt;=74.99,"8",IF(Z25&lt;=79.99,"9","10")))))))</f>
        <v>7</v>
      </c>
      <c r="AC25" s="28">
        <v>4</v>
      </c>
      <c r="AD25" s="29">
        <f>AB25*AC25</f>
        <v>28</v>
      </c>
      <c r="AE25" s="22">
        <f>'[7]5th Subject'!$C3</f>
        <v>30</v>
      </c>
      <c r="AF25" s="23">
        <f>'[7]5th Subject'!$D3</f>
        <v>40</v>
      </c>
      <c r="AG25" s="27">
        <f>AF25+AE25</f>
        <v>70</v>
      </c>
      <c r="AH25" s="18" t="str">
        <f>IF(AG25&lt;50,"F",IF(AG25&lt;=54.99,"P",IF(AG25&lt;=59.99,"C",IF(AG25&lt;=64.99,"B",IF(AG25&lt;=69.99,"B+",IF(AG25&lt;=74.99,"A",IF(AG25&lt;=79.99,"A+","O")))))))</f>
        <v>A</v>
      </c>
      <c r="AI25" s="18" t="str">
        <f>IF(AG25&lt;50,"0",IF(AG25&lt;=54.99,"4",IF(AG25&lt;=59.99,"5",IF(AG25&lt;=64.99,"6",IF(AG25&lt;=69.99,"7",IF(AG25&lt;=74.99,"8",IF(AG25&lt;=79.99,"9","10")))))))</f>
        <v>8</v>
      </c>
      <c r="AJ25" s="28">
        <v>4</v>
      </c>
      <c r="AK25" s="29">
        <f>AI25*AJ25</f>
        <v>32</v>
      </c>
      <c r="AL25" s="22">
        <f>'[8]6th Subject'!$C3</f>
        <v>30</v>
      </c>
      <c r="AM25" s="22">
        <f>'[8]6th Subject'!$D3</f>
        <v>40</v>
      </c>
      <c r="AN25" s="27">
        <f>AM25+AL25</f>
        <v>70</v>
      </c>
      <c r="AO25" s="18" t="str">
        <f>IF(AN25&lt;50,"F",IF(AN25&lt;=54.99,"P",IF(AN25&lt;=59.99,"C",IF(AN25&lt;=64.99,"B",IF(AN25&lt;=69.99,"B+",IF(AN25&lt;=74.99,"A",IF(AN25&lt;=79.99,"A+","O")))))))</f>
        <v>A</v>
      </c>
      <c r="AP25" s="18" t="str">
        <f>IF(AN25&lt;50,"0",IF(AN25&lt;=54.99,"4",IF(AN25&lt;=59.99,"5",IF(AN25&lt;=64.99,"6",IF(AN25&lt;=69.99,"7",IF(AN25&lt;=74.99,"8",IF(AN25&lt;=79.99,"9","10")))))))</f>
        <v>8</v>
      </c>
      <c r="AQ25" s="28">
        <v>4</v>
      </c>
      <c r="AR25" s="29">
        <f>AP25*AQ25</f>
        <v>32</v>
      </c>
      <c r="AS25" s="16">
        <f>'[9]7th Subject'!$C3</f>
        <v>30</v>
      </c>
      <c r="AT25" s="16">
        <f>'[9]7th Subject'!$D3</f>
        <v>40</v>
      </c>
      <c r="AU25" s="27">
        <f>AT25+AS25</f>
        <v>70</v>
      </c>
      <c r="AV25" s="18" t="str">
        <f>IF(AU25&lt;50,"F",IF(AU25&lt;=54.99,"P",IF(AU25&lt;=59.99,"C",IF(AU25&lt;=64.99,"B",IF(AU25&lt;=69.99,"B+",IF(AU25&lt;=74.99,"A",IF(AU25&lt;=79.99,"A+","O")))))))</f>
        <v>A</v>
      </c>
      <c r="AW25" s="18" t="str">
        <f>IF(AU25&lt;50,"0",IF(AU25&lt;=54.99,"4",IF(AU25&lt;=59.99,"5",IF(AU25&lt;=64.99,"6",IF(AU25&lt;=69.99,"7",IF(AU25&lt;=74.99,"8",IF(AU25&lt;=79.99,"9","10")))))))</f>
        <v>8</v>
      </c>
      <c r="AX25" s="28">
        <v>4</v>
      </c>
      <c r="AY25" s="29">
        <f>AW25*AX25</f>
        <v>32</v>
      </c>
      <c r="AZ25" s="22">
        <f>'[10]8th Subject'!$C3</f>
        <v>30</v>
      </c>
      <c r="BA25" s="22">
        <f>'[10]8th Subject'!$D3</f>
        <v>40</v>
      </c>
      <c r="BB25" s="27">
        <f>BA25+AZ25</f>
        <v>70</v>
      </c>
      <c r="BC25" s="18" t="str">
        <f>IF(BB25&lt;50,"F",IF(BB25&lt;=54.99,"P",IF(BB25&lt;=59.99,"C",IF(BB25&lt;=64.99,"B",IF(BB25&lt;=69.99,"B+",IF(BB25&lt;=74.99,"A",IF(BB25&lt;=79.99,"A+","O")))))))</f>
        <v>A</v>
      </c>
      <c r="BD25" s="18" t="str">
        <f>IF(BB25&lt;50,"0",IF(BB25&lt;=54.99,"4",IF(BB25&lt;=59.99,"5",IF(BB25&lt;=64.99,"6",IF(BB25&lt;=69.99,"7",IF(BB25&lt;=74.99,"8",IF(BB25&lt;=79.99,"9","10")))))))</f>
        <v>8</v>
      </c>
      <c r="BE25" s="28">
        <v>4</v>
      </c>
      <c r="BF25" s="29">
        <f>BD25*BE25</f>
        <v>32</v>
      </c>
      <c r="BG25" s="27">
        <f>AZ25+AS25+AE25+X25+J25+C25+Q25+AL25</f>
        <v>226</v>
      </c>
      <c r="BH25" s="27">
        <f>BA25+AT25+AF25+Y25+K25+D25+R25+AM25</f>
        <v>353</v>
      </c>
      <c r="BI25" s="27">
        <f>BH25+BG25</f>
        <v>579</v>
      </c>
      <c r="BJ25" s="30">
        <f>G25+N25+U25+AB25+AI25+AP25+BD25+AW25</f>
        <v>65</v>
      </c>
      <c r="BK25" s="30">
        <f>I25+P25+W25+AD25+AK25+AY25+BF25+AR25</f>
        <v>260</v>
      </c>
      <c r="BL25" s="25">
        <f>(BN25-0.75)*10</f>
        <v>73.75</v>
      </c>
      <c r="BM25" s="17" t="str">
        <f>IF(OR(C25&lt;20,D25&lt;30,J25&lt;20,K25&lt;30,Q25&lt;20,R25&lt;30,X25&lt;20,Y25&lt;30,AE25&lt;20,AF25&lt;30,AL25&lt;20,AM25&lt;30,AS25&lt;20,AT25&lt;30,AZ25&lt;20,BA25&lt;30),"Unsuccessful","Successful")</f>
        <v>Unsuccessful</v>
      </c>
      <c r="BN25" s="31">
        <f>BK25/32</f>
        <v>8.125</v>
      </c>
      <c r="BO25" s="18" t="str">
        <f>IF(BN25&lt;=4,"F",IF(BN25&lt;=4.5,"P",IF(BN25&lt;=5.5,"C",IF(BN25&lt;=6.5,"B",IF(BN25&lt;=7.5,"B+",IF(BN25&lt;=8.5,"A",IF(BN25&lt;=9.5,"A+","O")))))))</f>
        <v>A</v>
      </c>
      <c r="BP25" s="14" t="str">
        <f>IF(BN25&lt;=4,"50",IF(BN25&lt;=4.5,"50-54.99",IF(BN25&lt;=5.5,"55-59.99",IF(BN25&lt;=6.5,"60-64.99",IF(BN25&lt;=7.5,"65-69.99",IF(BN25&lt;=8.5,"70-74.99",IF(BN25&lt;=9.5,"75-79.99","10")))))))</f>
        <v>70-74.99</v>
      </c>
      <c r="BS25">
        <f>RANK(BN25,$BN$3:$BN$135)</f>
        <v>23</v>
      </c>
    </row>
    <row r="26" spans="1:71" x14ac:dyDescent="0.25">
      <c r="A26" s="14" t="str">
        <f>[2]Sheet1!$A15</f>
        <v>MMS18-20/014</v>
      </c>
      <c r="B26" s="15" t="str">
        <f>[2]Sheet1!$B15</f>
        <v>BHOSALE MAYUR PRATAPRAO USHA</v>
      </c>
      <c r="C26" s="16">
        <f>'[3]1st Subject'!$C16</f>
        <v>32</v>
      </c>
      <c r="D26" s="16">
        <f>'[3]1st Subject'!$D16</f>
        <v>42</v>
      </c>
      <c r="E26" s="27">
        <f>D26+C26</f>
        <v>74</v>
      </c>
      <c r="F26" s="18" t="str">
        <f>IF(E26&lt;50,"F",IF(E26&lt;=54.99,"P",IF(E26&lt;=59.99,"C",IF(E26&lt;=64.99,"B",IF(E26&lt;=69.99,"B+",IF(E26&lt;=74.99,"A",IF(E26&lt;=79.99,"A+","O")))))))</f>
        <v>A</v>
      </c>
      <c r="G26" s="18" t="str">
        <f>IF(E26&lt;50,"0",IF(E26&lt;=54.99,"4",IF(E26&lt;=59.99,"5",IF(E26&lt;=64.99,"6",IF(E26&lt;=69.99,"7",IF(E26&lt;=74.99,"8",IF(E26&lt;=79.99,"9","10")))))))</f>
        <v>8</v>
      </c>
      <c r="H26" s="28">
        <v>4</v>
      </c>
      <c r="I26" s="29">
        <f>G26*H26</f>
        <v>32</v>
      </c>
      <c r="J26" s="16">
        <f>'[4]2nd Subject'!$C16</f>
        <v>32</v>
      </c>
      <c r="K26" s="16">
        <f>'[4]2nd Subject'!$D16</f>
        <v>42</v>
      </c>
      <c r="L26" s="27">
        <f>K26+J26</f>
        <v>74</v>
      </c>
      <c r="M26" s="18" t="str">
        <f>IF(L26&lt;50,"F",IF(L26&lt;=54.99,"P",IF(L26&lt;=59.99,"C",IF(L26&lt;=64.99,"B",IF(L26&lt;=69.99,"B+",IF(L26&lt;=74.99,"A",IF(L26&lt;=79.99,"A+","O")))))))</f>
        <v>A</v>
      </c>
      <c r="N26" s="18" t="str">
        <f>IF(L26&lt;50,"0",IF(L26&lt;=54.99,"4",IF(L26&lt;=59.99,"5",IF(L26&lt;=64.99,"6",IF(L26&lt;=69.99,"7",IF(L26&lt;=74.99,"8",IF(L26&lt;=79.99,"9","10")))))))</f>
        <v>8</v>
      </c>
      <c r="O26" s="28">
        <v>4</v>
      </c>
      <c r="P26" s="29">
        <f>N26*O26</f>
        <v>32</v>
      </c>
      <c r="Q26" s="21">
        <f>'[5]3rd Subject'!$C16</f>
        <v>32</v>
      </c>
      <c r="R26" s="21">
        <f>'[5]3rd Subject'!$D16</f>
        <v>42</v>
      </c>
      <c r="S26" s="27">
        <f>R26+Q26</f>
        <v>74</v>
      </c>
      <c r="T26" s="18" t="str">
        <f>IF(S26&lt;50,"F",IF(S26&lt;=54.99,"P",IF(S26&lt;=59.99,"C",IF(S26&lt;=64.99,"B",IF(S26&lt;=69.99,"B+",IF(S26&lt;=74.99,"A",IF(S26&lt;=79.99,"A+","O")))))))</f>
        <v>A</v>
      </c>
      <c r="U26" s="18" t="str">
        <f>IF(S26&lt;50,"0",IF(S26&lt;=54.99,"4",IF(S26&lt;=59.99,"5",IF(S26&lt;=64.99,"6",IF(S26&lt;=69.99,"7",IF(S26&lt;=74.99,"8",IF(S26&lt;=79.99,"9","10")))))))</f>
        <v>8</v>
      </c>
      <c r="V26" s="28">
        <v>4</v>
      </c>
      <c r="W26" s="29">
        <f>U26*V26</f>
        <v>32</v>
      </c>
      <c r="X26" s="22">
        <f>'[6]4th Subject'!$C16</f>
        <v>32</v>
      </c>
      <c r="Y26" s="23">
        <f>'[6]4th Subject'!$D16</f>
        <v>42</v>
      </c>
      <c r="Z26" s="27">
        <f>Y26+X26</f>
        <v>74</v>
      </c>
      <c r="AA26" s="18" t="str">
        <f>IF(Z26&lt;50,"F",IF(Z26&lt;=54.99,"P",IF(Z26&lt;=59.99,"C",IF(Z26&lt;=64.99,"B",IF(Z26&lt;=69.99,"B+",IF(Z26&lt;=74.99,"A",IF(Z26&lt;=79.99,"A+","O")))))))</f>
        <v>A</v>
      </c>
      <c r="AB26" s="18" t="str">
        <f>IF(Z26&lt;50,"0",IF(Z26&lt;=54.99,"4",IF(Z26&lt;=59.99,"5",IF(Z26&lt;=64.99,"6",IF(Z26&lt;=69.99,"7",IF(Z26&lt;=74.99,"8",IF(Z26&lt;=79.99,"9","10")))))))</f>
        <v>8</v>
      </c>
      <c r="AC26" s="28">
        <v>4</v>
      </c>
      <c r="AD26" s="29">
        <f>AB26*AC26</f>
        <v>32</v>
      </c>
      <c r="AE26" s="22">
        <f>'[7]5th Subject'!$C16</f>
        <v>32</v>
      </c>
      <c r="AF26" s="23">
        <f>'[7]5th Subject'!$D16</f>
        <v>42</v>
      </c>
      <c r="AG26" s="27">
        <f>AF26+AE26</f>
        <v>74</v>
      </c>
      <c r="AH26" s="18" t="str">
        <f>IF(AG26&lt;50,"F",IF(AG26&lt;=54.99,"P",IF(AG26&lt;=59.99,"C",IF(AG26&lt;=64.99,"B",IF(AG26&lt;=69.99,"B+",IF(AG26&lt;=74.99,"A",IF(AG26&lt;=79.99,"A+","O")))))))</f>
        <v>A</v>
      </c>
      <c r="AI26" s="18" t="str">
        <f>IF(AG26&lt;50,"0",IF(AG26&lt;=54.99,"4",IF(AG26&lt;=59.99,"5",IF(AG26&lt;=64.99,"6",IF(AG26&lt;=69.99,"7",IF(AG26&lt;=74.99,"8",IF(AG26&lt;=79.99,"9","10")))))))</f>
        <v>8</v>
      </c>
      <c r="AJ26" s="28">
        <v>4</v>
      </c>
      <c r="AK26" s="29">
        <f>AI26*AJ26</f>
        <v>32</v>
      </c>
      <c r="AL26" s="22">
        <f>'[8]6th Subject'!$C16</f>
        <v>32</v>
      </c>
      <c r="AM26" s="22">
        <f>'[8]6th Subject'!$D16</f>
        <v>42</v>
      </c>
      <c r="AN26" s="27">
        <f>AM26+AL26</f>
        <v>74</v>
      </c>
      <c r="AO26" s="18" t="str">
        <f>IF(AN26&lt;50,"F",IF(AN26&lt;=54.99,"P",IF(AN26&lt;=59.99,"C",IF(AN26&lt;=64.99,"B",IF(AN26&lt;=69.99,"B+",IF(AN26&lt;=74.99,"A",IF(AN26&lt;=79.99,"A+","O")))))))</f>
        <v>A</v>
      </c>
      <c r="AP26" s="18" t="str">
        <f>IF(AN26&lt;50,"0",IF(AN26&lt;=54.99,"4",IF(AN26&lt;=59.99,"5",IF(AN26&lt;=64.99,"6",IF(AN26&lt;=69.99,"7",IF(AN26&lt;=74.99,"8",IF(AN26&lt;=79.99,"9","10")))))))</f>
        <v>8</v>
      </c>
      <c r="AQ26" s="28">
        <v>4</v>
      </c>
      <c r="AR26" s="29">
        <f>AP26*AQ26</f>
        <v>32</v>
      </c>
      <c r="AS26" s="16">
        <f>'[9]7th Subject'!$C16</f>
        <v>32</v>
      </c>
      <c r="AT26" s="16">
        <f>'[9]7th Subject'!$D16</f>
        <v>42</v>
      </c>
      <c r="AU26" s="27">
        <f>AT26+AS26</f>
        <v>74</v>
      </c>
      <c r="AV26" s="18" t="str">
        <f>IF(AU26&lt;50,"F",IF(AU26&lt;=54.99,"P",IF(AU26&lt;=59.99,"C",IF(AU26&lt;=64.99,"B",IF(AU26&lt;=69.99,"B+",IF(AU26&lt;=74.99,"A",IF(AU26&lt;=79.99,"A+","O")))))))</f>
        <v>A</v>
      </c>
      <c r="AW26" s="18" t="str">
        <f>IF(AU26&lt;50,"0",IF(AU26&lt;=54.99,"4",IF(AU26&lt;=59.99,"5",IF(AU26&lt;=64.99,"6",IF(AU26&lt;=69.99,"7",IF(AU26&lt;=74.99,"8",IF(AU26&lt;=79.99,"9","10")))))))</f>
        <v>8</v>
      </c>
      <c r="AX26" s="28">
        <v>4</v>
      </c>
      <c r="AY26" s="29">
        <f>AW26*AX26</f>
        <v>32</v>
      </c>
      <c r="AZ26" s="22">
        <f>'[10]8th Subject'!$C16</f>
        <v>32</v>
      </c>
      <c r="BA26" s="22">
        <f>'[10]8th Subject'!$D16</f>
        <v>42</v>
      </c>
      <c r="BB26" s="27">
        <f>BA26+AZ26</f>
        <v>74</v>
      </c>
      <c r="BC26" s="18" t="str">
        <f>IF(BB26&lt;50,"F",IF(BB26&lt;=54.99,"P",IF(BB26&lt;=59.99,"C",IF(BB26&lt;=64.99,"B",IF(BB26&lt;=69.99,"B+",IF(BB26&lt;=74.99,"A",IF(BB26&lt;=79.99,"A+","O")))))))</f>
        <v>A</v>
      </c>
      <c r="BD26" s="18" t="str">
        <f>IF(BB26&lt;50,"0",IF(BB26&lt;=54.99,"4",IF(BB26&lt;=59.99,"5",IF(BB26&lt;=64.99,"6",IF(BB26&lt;=69.99,"7",IF(BB26&lt;=74.99,"8",IF(BB26&lt;=79.99,"9","10")))))))</f>
        <v>8</v>
      </c>
      <c r="BE26" s="28">
        <v>4</v>
      </c>
      <c r="BF26" s="29">
        <f>BD26*BE26</f>
        <v>32</v>
      </c>
      <c r="BG26" s="27">
        <f>AZ26+AS26+AE26+X26+J26+C26+Q26+AL26</f>
        <v>256</v>
      </c>
      <c r="BH26" s="27">
        <f>BA26+AT26+AF26+Y26+K26+D26+R26+AM26</f>
        <v>336</v>
      </c>
      <c r="BI26" s="27">
        <f>BH26+BG26</f>
        <v>592</v>
      </c>
      <c r="BJ26" s="30">
        <f>G26+N26+U26+AB26+AI26+AP26+BD26+AW26</f>
        <v>64</v>
      </c>
      <c r="BK26" s="30">
        <f>I26+P26+W26+AD26+AK26+AY26+BF26+AR26</f>
        <v>256</v>
      </c>
      <c r="BL26" s="25">
        <f>(BN26-0.75)*10</f>
        <v>72.5</v>
      </c>
      <c r="BM26" s="17" t="str">
        <f>IF(OR(C26&lt;20,D26&lt;30,J26&lt;20,K26&lt;30,Q26&lt;20,R26&lt;30,X26&lt;20,Y26&lt;30,AE26&lt;20,AF26&lt;30,AL26&lt;20,AM26&lt;30,AS26&lt;20,AT26&lt;30,AZ26&lt;20,BA26&lt;30),"Unsuccessful","Successful")</f>
        <v>Successful</v>
      </c>
      <c r="BN26" s="31">
        <f>BK26/32</f>
        <v>8</v>
      </c>
      <c r="BO26" s="18" t="str">
        <f>IF(BN26&lt;=4,"F",IF(BN26&lt;=4.5,"P",IF(BN26&lt;=5.5,"C",IF(BN26&lt;=6.5,"B",IF(BN26&lt;=7.5,"B+",IF(BN26&lt;=8.5,"A",IF(BN26&lt;=9.5,"A+","O")))))))</f>
        <v>A</v>
      </c>
      <c r="BP26" s="14" t="str">
        <f>IF(BN26&lt;=4,"50",IF(BN26&lt;=4.5,"50-54.99",IF(BN26&lt;=5.5,"55-59.99",IF(BN26&lt;=6.5,"60-64.99",IF(BN26&lt;=7.5,"65-69.99",IF(BN26&lt;=8.5,"70-74.99",IF(BN26&lt;=9.5,"75-79.99","10")))))))</f>
        <v>70-74.99</v>
      </c>
      <c r="BS26">
        <f>RANK(BN26,$BN$3:$BN$135)</f>
        <v>24</v>
      </c>
    </row>
    <row r="27" spans="1:71" x14ac:dyDescent="0.25">
      <c r="A27" s="14" t="str">
        <f>[2]Sheet1!$A26</f>
        <v>MMS18-20/025</v>
      </c>
      <c r="B27" s="15" t="str">
        <f>[2]Sheet1!$B26</f>
        <v>/DSOUZA FLOSSIE JOACHIM RITA</v>
      </c>
      <c r="C27" s="16">
        <f>'[3]1st Subject'!$C27</f>
        <v>32</v>
      </c>
      <c r="D27" s="16">
        <f>'[3]1st Subject'!$D27</f>
        <v>42</v>
      </c>
      <c r="E27" s="27">
        <f>D27+C27</f>
        <v>74</v>
      </c>
      <c r="F27" s="18" t="str">
        <f>IF(E27&lt;50,"F",IF(E27&lt;=54.99,"P",IF(E27&lt;=59.99,"C",IF(E27&lt;=64.99,"B",IF(E27&lt;=69.99,"B+",IF(E27&lt;=74.99,"A",IF(E27&lt;=79.99,"A+","O")))))))</f>
        <v>A</v>
      </c>
      <c r="G27" s="18" t="str">
        <f>IF(E27&lt;50,"0",IF(E27&lt;=54.99,"4",IF(E27&lt;=59.99,"5",IF(E27&lt;=64.99,"6",IF(E27&lt;=69.99,"7",IF(E27&lt;=74.99,"8",IF(E27&lt;=79.99,"9","10")))))))</f>
        <v>8</v>
      </c>
      <c r="H27" s="28">
        <v>4</v>
      </c>
      <c r="I27" s="29">
        <f>G27*H27</f>
        <v>32</v>
      </c>
      <c r="J27" s="16">
        <f>'[4]2nd Subject'!$C27</f>
        <v>32</v>
      </c>
      <c r="K27" s="16">
        <f>'[4]2nd Subject'!$D27</f>
        <v>42</v>
      </c>
      <c r="L27" s="27">
        <f>K27+J27</f>
        <v>74</v>
      </c>
      <c r="M27" s="18" t="str">
        <f>IF(L27&lt;50,"F",IF(L27&lt;=54.99,"P",IF(L27&lt;=59.99,"C",IF(L27&lt;=64.99,"B",IF(L27&lt;=69.99,"B+",IF(L27&lt;=74.99,"A",IF(L27&lt;=79.99,"A+","O")))))))</f>
        <v>A</v>
      </c>
      <c r="N27" s="18" t="str">
        <f>IF(L27&lt;50,"0",IF(L27&lt;=54.99,"4",IF(L27&lt;=59.99,"5",IF(L27&lt;=64.99,"6",IF(L27&lt;=69.99,"7",IF(L27&lt;=74.99,"8",IF(L27&lt;=79.99,"9","10")))))))</f>
        <v>8</v>
      </c>
      <c r="O27" s="28">
        <v>4</v>
      </c>
      <c r="P27" s="29">
        <f>N27*O27</f>
        <v>32</v>
      </c>
      <c r="Q27" s="21">
        <f>'[5]3rd Subject'!$C27</f>
        <v>32</v>
      </c>
      <c r="R27" s="21">
        <f>'[5]3rd Subject'!$D27</f>
        <v>42</v>
      </c>
      <c r="S27" s="27">
        <f>R27+Q27</f>
        <v>74</v>
      </c>
      <c r="T27" s="18" t="str">
        <f>IF(S27&lt;50,"F",IF(S27&lt;=54.99,"P",IF(S27&lt;=59.99,"C",IF(S27&lt;=64.99,"B",IF(S27&lt;=69.99,"B+",IF(S27&lt;=74.99,"A",IF(S27&lt;=79.99,"A+","O")))))))</f>
        <v>A</v>
      </c>
      <c r="U27" s="18" t="str">
        <f>IF(S27&lt;50,"0",IF(S27&lt;=54.99,"4",IF(S27&lt;=59.99,"5",IF(S27&lt;=64.99,"6",IF(S27&lt;=69.99,"7",IF(S27&lt;=74.99,"8",IF(S27&lt;=79.99,"9","10")))))))</f>
        <v>8</v>
      </c>
      <c r="V27" s="28">
        <v>4</v>
      </c>
      <c r="W27" s="29">
        <f>U27*V27</f>
        <v>32</v>
      </c>
      <c r="X27" s="22">
        <f>'[6]4th Subject'!$C27</f>
        <v>32</v>
      </c>
      <c r="Y27" s="23">
        <f>'[6]4th Subject'!$D27</f>
        <v>42</v>
      </c>
      <c r="Z27" s="27">
        <f>Y27+X27</f>
        <v>74</v>
      </c>
      <c r="AA27" s="18" t="str">
        <f>IF(Z27&lt;50,"F",IF(Z27&lt;=54.99,"P",IF(Z27&lt;=59.99,"C",IF(Z27&lt;=64.99,"B",IF(Z27&lt;=69.99,"B+",IF(Z27&lt;=74.99,"A",IF(Z27&lt;=79.99,"A+","O")))))))</f>
        <v>A</v>
      </c>
      <c r="AB27" s="18" t="str">
        <f>IF(Z27&lt;50,"0",IF(Z27&lt;=54.99,"4",IF(Z27&lt;=59.99,"5",IF(Z27&lt;=64.99,"6",IF(Z27&lt;=69.99,"7",IF(Z27&lt;=74.99,"8",IF(Z27&lt;=79.99,"9","10")))))))</f>
        <v>8</v>
      </c>
      <c r="AC27" s="28">
        <v>4</v>
      </c>
      <c r="AD27" s="29">
        <f>AB27*AC27</f>
        <v>32</v>
      </c>
      <c r="AE27" s="22">
        <f>'[7]5th Subject'!$C27</f>
        <v>32</v>
      </c>
      <c r="AF27" s="23">
        <f>'[7]5th Subject'!$D27</f>
        <v>42</v>
      </c>
      <c r="AG27" s="27">
        <f>AF27+AE27</f>
        <v>74</v>
      </c>
      <c r="AH27" s="18" t="str">
        <f>IF(AG27&lt;50,"F",IF(AG27&lt;=54.99,"P",IF(AG27&lt;=59.99,"C",IF(AG27&lt;=64.99,"B",IF(AG27&lt;=69.99,"B+",IF(AG27&lt;=74.99,"A",IF(AG27&lt;=79.99,"A+","O")))))))</f>
        <v>A</v>
      </c>
      <c r="AI27" s="18" t="str">
        <f>IF(AG27&lt;50,"0",IF(AG27&lt;=54.99,"4",IF(AG27&lt;=59.99,"5",IF(AG27&lt;=64.99,"6",IF(AG27&lt;=69.99,"7",IF(AG27&lt;=74.99,"8",IF(AG27&lt;=79.99,"9","10")))))))</f>
        <v>8</v>
      </c>
      <c r="AJ27" s="28">
        <v>4</v>
      </c>
      <c r="AK27" s="29">
        <f>AI27*AJ27</f>
        <v>32</v>
      </c>
      <c r="AL27" s="22">
        <f>'[8]6th Subject'!$C27</f>
        <v>32</v>
      </c>
      <c r="AM27" s="22">
        <f>'[8]6th Subject'!$D27</f>
        <v>42</v>
      </c>
      <c r="AN27" s="27">
        <f>AM27+AL27</f>
        <v>74</v>
      </c>
      <c r="AO27" s="18" t="str">
        <f>IF(AN27&lt;50,"F",IF(AN27&lt;=54.99,"P",IF(AN27&lt;=59.99,"C",IF(AN27&lt;=64.99,"B",IF(AN27&lt;=69.99,"B+",IF(AN27&lt;=74.99,"A",IF(AN27&lt;=79.99,"A+","O")))))))</f>
        <v>A</v>
      </c>
      <c r="AP27" s="18" t="str">
        <f>IF(AN27&lt;50,"0",IF(AN27&lt;=54.99,"4",IF(AN27&lt;=59.99,"5",IF(AN27&lt;=64.99,"6",IF(AN27&lt;=69.99,"7",IF(AN27&lt;=74.99,"8",IF(AN27&lt;=79.99,"9","10")))))))</f>
        <v>8</v>
      </c>
      <c r="AQ27" s="28">
        <v>4</v>
      </c>
      <c r="AR27" s="29">
        <f>AP27*AQ27</f>
        <v>32</v>
      </c>
      <c r="AS27" s="16">
        <f>'[9]7th Subject'!$C27</f>
        <v>32</v>
      </c>
      <c r="AT27" s="16">
        <f>'[9]7th Subject'!$D27</f>
        <v>42</v>
      </c>
      <c r="AU27" s="27">
        <f>AT27+AS27</f>
        <v>74</v>
      </c>
      <c r="AV27" s="18" t="str">
        <f>IF(AU27&lt;50,"F",IF(AU27&lt;=54.99,"P",IF(AU27&lt;=59.99,"C",IF(AU27&lt;=64.99,"B",IF(AU27&lt;=69.99,"B+",IF(AU27&lt;=74.99,"A",IF(AU27&lt;=79.99,"A+","O")))))))</f>
        <v>A</v>
      </c>
      <c r="AW27" s="18" t="str">
        <f>IF(AU27&lt;50,"0",IF(AU27&lt;=54.99,"4",IF(AU27&lt;=59.99,"5",IF(AU27&lt;=64.99,"6",IF(AU27&lt;=69.99,"7",IF(AU27&lt;=74.99,"8",IF(AU27&lt;=79.99,"9","10")))))))</f>
        <v>8</v>
      </c>
      <c r="AX27" s="28">
        <v>4</v>
      </c>
      <c r="AY27" s="29">
        <f>AW27*AX27</f>
        <v>32</v>
      </c>
      <c r="AZ27" s="22">
        <f>'[10]8th Subject'!$C27</f>
        <v>32</v>
      </c>
      <c r="BA27" s="22">
        <f>'[10]8th Subject'!$D27</f>
        <v>42</v>
      </c>
      <c r="BB27" s="27">
        <f>BA27+AZ27</f>
        <v>74</v>
      </c>
      <c r="BC27" s="18" t="str">
        <f>IF(BB27&lt;50,"F",IF(BB27&lt;=54.99,"P",IF(BB27&lt;=59.99,"C",IF(BB27&lt;=64.99,"B",IF(BB27&lt;=69.99,"B+",IF(BB27&lt;=74.99,"A",IF(BB27&lt;=79.99,"A+","O")))))))</f>
        <v>A</v>
      </c>
      <c r="BD27" s="18" t="str">
        <f>IF(BB27&lt;50,"0",IF(BB27&lt;=54.99,"4",IF(BB27&lt;=59.99,"5",IF(BB27&lt;=64.99,"6",IF(BB27&lt;=69.99,"7",IF(BB27&lt;=74.99,"8",IF(BB27&lt;=79.99,"9","10")))))))</f>
        <v>8</v>
      </c>
      <c r="BE27" s="28">
        <v>4</v>
      </c>
      <c r="BF27" s="29">
        <f>BD27*BE27</f>
        <v>32</v>
      </c>
      <c r="BG27" s="27">
        <f>AZ27+AS27+AE27+X27+J27+C27+Q27+AL27</f>
        <v>256</v>
      </c>
      <c r="BH27" s="27">
        <f>BA27+AT27+AF27+Y27+K27+D27+R27+AM27</f>
        <v>336</v>
      </c>
      <c r="BI27" s="27">
        <f>BH27+BG27</f>
        <v>592</v>
      </c>
      <c r="BJ27" s="30">
        <f>G27+N27+U27+AB27+AI27+AP27+BD27+AW27</f>
        <v>64</v>
      </c>
      <c r="BK27" s="30">
        <f>I27+P27+W27+AD27+AK27+AY27+BF27+AR27</f>
        <v>256</v>
      </c>
      <c r="BL27" s="25">
        <f>(BN27-0.75)*10</f>
        <v>72.5</v>
      </c>
      <c r="BM27" s="17" t="str">
        <f>IF(OR(C27&lt;20,D27&lt;30,J27&lt;20,K27&lt;30,Q27&lt;20,R27&lt;30,X27&lt;20,Y27&lt;30,AE27&lt;20,AF27&lt;30,AL27&lt;20,AM27&lt;30,AS27&lt;20,AT27&lt;30,AZ27&lt;20,BA27&lt;30),"Unsuccessful","Successful")</f>
        <v>Successful</v>
      </c>
      <c r="BN27" s="31">
        <f>BK27/32</f>
        <v>8</v>
      </c>
      <c r="BO27" s="18" t="str">
        <f>IF(BN27&lt;=4,"F",IF(BN27&lt;=4.5,"P",IF(BN27&lt;=5.5,"C",IF(BN27&lt;=6.5,"B",IF(BN27&lt;=7.5,"B+",IF(BN27&lt;=8.5,"A",IF(BN27&lt;=9.5,"A+","O")))))))</f>
        <v>A</v>
      </c>
      <c r="BP27" s="14" t="str">
        <f>IF(BN27&lt;=4,"50",IF(BN27&lt;=4.5,"50-54.99",IF(BN27&lt;=5.5,"55-59.99",IF(BN27&lt;=6.5,"60-64.99",IF(BN27&lt;=7.5,"65-69.99",IF(BN27&lt;=8.5,"70-74.99",IF(BN27&lt;=9.5,"75-79.99","10")))))))</f>
        <v>70-74.99</v>
      </c>
      <c r="BS27">
        <f>RANK(BN27,$BN$3:$BN$135)</f>
        <v>24</v>
      </c>
    </row>
    <row r="28" spans="1:71" x14ac:dyDescent="0.25">
      <c r="A28" s="14" t="str">
        <f>[2]Sheet1!$A37</f>
        <v>MMS18-20/036</v>
      </c>
      <c r="B28" s="15" t="str">
        <f>[2]Sheet1!$B37</f>
        <v>JADHAV ANKUR SHIVAJI ANAGHA</v>
      </c>
      <c r="C28" s="16">
        <f>'[3]1st Subject'!$C38</f>
        <v>32</v>
      </c>
      <c r="D28" s="16">
        <f>'[3]1st Subject'!$D38</f>
        <v>42</v>
      </c>
      <c r="E28" s="27">
        <f>D28+C28</f>
        <v>74</v>
      </c>
      <c r="F28" s="18" t="str">
        <f>IF(E28&lt;50,"F",IF(E28&lt;=54.99,"P",IF(E28&lt;=59.99,"C",IF(E28&lt;=64.99,"B",IF(E28&lt;=69.99,"B+",IF(E28&lt;=74.99,"A",IF(E28&lt;=79.99,"A+","O")))))))</f>
        <v>A</v>
      </c>
      <c r="G28" s="18" t="str">
        <f>IF(E28&lt;50,"0",IF(E28&lt;=54.99,"4",IF(E28&lt;=59.99,"5",IF(E28&lt;=64.99,"6",IF(E28&lt;=69.99,"7",IF(E28&lt;=74.99,"8",IF(E28&lt;=79.99,"9","10")))))))</f>
        <v>8</v>
      </c>
      <c r="H28" s="28">
        <v>4</v>
      </c>
      <c r="I28" s="29">
        <f>G28*H28</f>
        <v>32</v>
      </c>
      <c r="J28" s="16">
        <f>'[4]2nd Subject'!$C38</f>
        <v>32</v>
      </c>
      <c r="K28" s="16">
        <f>'[4]2nd Subject'!$D38</f>
        <v>42</v>
      </c>
      <c r="L28" s="27">
        <f>K28+J28</f>
        <v>74</v>
      </c>
      <c r="M28" s="18" t="str">
        <f>IF(L28&lt;50,"F",IF(L28&lt;=54.99,"P",IF(L28&lt;=59.99,"C",IF(L28&lt;=64.99,"B",IF(L28&lt;=69.99,"B+",IF(L28&lt;=74.99,"A",IF(L28&lt;=79.99,"A+","O")))))))</f>
        <v>A</v>
      </c>
      <c r="N28" s="18" t="str">
        <f>IF(L28&lt;50,"0",IF(L28&lt;=54.99,"4",IF(L28&lt;=59.99,"5",IF(L28&lt;=64.99,"6",IF(L28&lt;=69.99,"7",IF(L28&lt;=74.99,"8",IF(L28&lt;=79.99,"9","10")))))))</f>
        <v>8</v>
      </c>
      <c r="O28" s="28">
        <v>4</v>
      </c>
      <c r="P28" s="29">
        <f>N28*O28</f>
        <v>32</v>
      </c>
      <c r="Q28" s="21">
        <f>'[5]3rd Subject'!$C38</f>
        <v>32</v>
      </c>
      <c r="R28" s="21">
        <f>'[5]3rd Subject'!$D38</f>
        <v>42</v>
      </c>
      <c r="S28" s="27">
        <f>R28+Q28</f>
        <v>74</v>
      </c>
      <c r="T28" s="18" t="str">
        <f>IF(S28&lt;50,"F",IF(S28&lt;=54.99,"P",IF(S28&lt;=59.99,"C",IF(S28&lt;=64.99,"B",IF(S28&lt;=69.99,"B+",IF(S28&lt;=74.99,"A",IF(S28&lt;=79.99,"A+","O")))))))</f>
        <v>A</v>
      </c>
      <c r="U28" s="18" t="str">
        <f>IF(S28&lt;50,"0",IF(S28&lt;=54.99,"4",IF(S28&lt;=59.99,"5",IF(S28&lt;=64.99,"6",IF(S28&lt;=69.99,"7",IF(S28&lt;=74.99,"8",IF(S28&lt;=79.99,"9","10")))))))</f>
        <v>8</v>
      </c>
      <c r="V28" s="28">
        <v>4</v>
      </c>
      <c r="W28" s="29">
        <f>U28*V28</f>
        <v>32</v>
      </c>
      <c r="X28" s="22">
        <f>'[6]4th Subject'!$C38</f>
        <v>32</v>
      </c>
      <c r="Y28" s="23">
        <f>'[6]4th Subject'!$D38</f>
        <v>42</v>
      </c>
      <c r="Z28" s="27">
        <f>Y28+X28</f>
        <v>74</v>
      </c>
      <c r="AA28" s="18" t="str">
        <f>IF(Z28&lt;50,"F",IF(Z28&lt;=54.99,"P",IF(Z28&lt;=59.99,"C",IF(Z28&lt;=64.99,"B",IF(Z28&lt;=69.99,"B+",IF(Z28&lt;=74.99,"A",IF(Z28&lt;=79.99,"A+","O")))))))</f>
        <v>A</v>
      </c>
      <c r="AB28" s="18" t="str">
        <f>IF(Z28&lt;50,"0",IF(Z28&lt;=54.99,"4",IF(Z28&lt;=59.99,"5",IF(Z28&lt;=64.99,"6",IF(Z28&lt;=69.99,"7",IF(Z28&lt;=74.99,"8",IF(Z28&lt;=79.99,"9","10")))))))</f>
        <v>8</v>
      </c>
      <c r="AC28" s="28">
        <v>4</v>
      </c>
      <c r="AD28" s="29">
        <f>AB28*AC28</f>
        <v>32</v>
      </c>
      <c r="AE28" s="22">
        <f>'[7]5th Subject'!$C38</f>
        <v>32</v>
      </c>
      <c r="AF28" s="23">
        <f>'[7]5th Subject'!$D38</f>
        <v>42</v>
      </c>
      <c r="AG28" s="27">
        <f>AF28+AE28</f>
        <v>74</v>
      </c>
      <c r="AH28" s="18" t="str">
        <f>IF(AG28&lt;50,"F",IF(AG28&lt;=54.99,"P",IF(AG28&lt;=59.99,"C",IF(AG28&lt;=64.99,"B",IF(AG28&lt;=69.99,"B+",IF(AG28&lt;=74.99,"A",IF(AG28&lt;=79.99,"A+","O")))))))</f>
        <v>A</v>
      </c>
      <c r="AI28" s="18" t="str">
        <f>IF(AG28&lt;50,"0",IF(AG28&lt;=54.99,"4",IF(AG28&lt;=59.99,"5",IF(AG28&lt;=64.99,"6",IF(AG28&lt;=69.99,"7",IF(AG28&lt;=74.99,"8",IF(AG28&lt;=79.99,"9","10")))))))</f>
        <v>8</v>
      </c>
      <c r="AJ28" s="28">
        <v>4</v>
      </c>
      <c r="AK28" s="29">
        <f>AI28*AJ28</f>
        <v>32</v>
      </c>
      <c r="AL28" s="22">
        <f>'[8]6th Subject'!$C38</f>
        <v>32</v>
      </c>
      <c r="AM28" s="22">
        <f>'[8]6th Subject'!$D38</f>
        <v>42</v>
      </c>
      <c r="AN28" s="27">
        <f>AM28+AL28</f>
        <v>74</v>
      </c>
      <c r="AO28" s="18" t="str">
        <f>IF(AN28&lt;50,"F",IF(AN28&lt;=54.99,"P",IF(AN28&lt;=59.99,"C",IF(AN28&lt;=64.99,"B",IF(AN28&lt;=69.99,"B+",IF(AN28&lt;=74.99,"A",IF(AN28&lt;=79.99,"A+","O")))))))</f>
        <v>A</v>
      </c>
      <c r="AP28" s="18" t="str">
        <f>IF(AN28&lt;50,"0",IF(AN28&lt;=54.99,"4",IF(AN28&lt;=59.99,"5",IF(AN28&lt;=64.99,"6",IF(AN28&lt;=69.99,"7",IF(AN28&lt;=74.99,"8",IF(AN28&lt;=79.99,"9","10")))))))</f>
        <v>8</v>
      </c>
      <c r="AQ28" s="28">
        <v>4</v>
      </c>
      <c r="AR28" s="29">
        <f>AP28*AQ28</f>
        <v>32</v>
      </c>
      <c r="AS28" s="16">
        <f>'[9]7th Subject'!$C38</f>
        <v>32</v>
      </c>
      <c r="AT28" s="16">
        <f>'[9]7th Subject'!$D38</f>
        <v>42</v>
      </c>
      <c r="AU28" s="27">
        <f>AT28+AS28</f>
        <v>74</v>
      </c>
      <c r="AV28" s="18" t="str">
        <f>IF(AU28&lt;50,"F",IF(AU28&lt;=54.99,"P",IF(AU28&lt;=59.99,"C",IF(AU28&lt;=64.99,"B",IF(AU28&lt;=69.99,"B+",IF(AU28&lt;=74.99,"A",IF(AU28&lt;=79.99,"A+","O")))))))</f>
        <v>A</v>
      </c>
      <c r="AW28" s="18" t="str">
        <f>IF(AU28&lt;50,"0",IF(AU28&lt;=54.99,"4",IF(AU28&lt;=59.99,"5",IF(AU28&lt;=64.99,"6",IF(AU28&lt;=69.99,"7",IF(AU28&lt;=74.99,"8",IF(AU28&lt;=79.99,"9","10")))))))</f>
        <v>8</v>
      </c>
      <c r="AX28" s="28">
        <v>4</v>
      </c>
      <c r="AY28" s="29">
        <f>AW28*AX28</f>
        <v>32</v>
      </c>
      <c r="AZ28" s="22">
        <f>'[10]8th Subject'!$C38</f>
        <v>32</v>
      </c>
      <c r="BA28" s="22">
        <f>'[10]8th Subject'!$D38</f>
        <v>42</v>
      </c>
      <c r="BB28" s="27">
        <f>BA28+AZ28</f>
        <v>74</v>
      </c>
      <c r="BC28" s="18" t="str">
        <f>IF(BB28&lt;50,"F",IF(BB28&lt;=54.99,"P",IF(BB28&lt;=59.99,"C",IF(BB28&lt;=64.99,"B",IF(BB28&lt;=69.99,"B+",IF(BB28&lt;=74.99,"A",IF(BB28&lt;=79.99,"A+","O")))))))</f>
        <v>A</v>
      </c>
      <c r="BD28" s="18" t="str">
        <f>IF(BB28&lt;50,"0",IF(BB28&lt;=54.99,"4",IF(BB28&lt;=59.99,"5",IF(BB28&lt;=64.99,"6",IF(BB28&lt;=69.99,"7",IF(BB28&lt;=74.99,"8",IF(BB28&lt;=79.99,"9","10")))))))</f>
        <v>8</v>
      </c>
      <c r="BE28" s="28">
        <v>4</v>
      </c>
      <c r="BF28" s="29">
        <f>BD28*BE28</f>
        <v>32</v>
      </c>
      <c r="BG28" s="27">
        <f>AZ28+AS28+AE28+X28+J28+C28+Q28+AL28</f>
        <v>256</v>
      </c>
      <c r="BH28" s="27">
        <f>BA28+AT28+AF28+Y28+K28+D28+R28+AM28</f>
        <v>336</v>
      </c>
      <c r="BI28" s="27">
        <f>BH28+BG28</f>
        <v>592</v>
      </c>
      <c r="BJ28" s="30">
        <f>G28+N28+U28+AB28+AI28+AP28+BD28+AW28</f>
        <v>64</v>
      </c>
      <c r="BK28" s="30">
        <f>I28+P28+W28+AD28+AK28+AY28+BF28+AR28</f>
        <v>256</v>
      </c>
      <c r="BL28" s="25">
        <f>(BN28-0.75)*10</f>
        <v>72.5</v>
      </c>
      <c r="BM28" s="17" t="str">
        <f>IF(OR(C28&lt;20,D28&lt;30,J28&lt;20,K28&lt;30,Q28&lt;20,R28&lt;30,X28&lt;20,Y28&lt;30,AE28&lt;20,AF28&lt;30,AL28&lt;20,AM28&lt;30,AS28&lt;20,AT28&lt;30,AZ28&lt;20,BA28&lt;30),"Unsuccessful","Successful")</f>
        <v>Successful</v>
      </c>
      <c r="BN28" s="31">
        <f>BK28/32</f>
        <v>8</v>
      </c>
      <c r="BO28" s="18" t="str">
        <f>IF(BN28&lt;=4,"F",IF(BN28&lt;=4.5,"P",IF(BN28&lt;=5.5,"C",IF(BN28&lt;=6.5,"B",IF(BN28&lt;=7.5,"B+",IF(BN28&lt;=8.5,"A",IF(BN28&lt;=9.5,"A+","O")))))))</f>
        <v>A</v>
      </c>
      <c r="BP28" s="14" t="str">
        <f>IF(BN28&lt;=4,"50",IF(BN28&lt;=4.5,"50-54.99",IF(BN28&lt;=5.5,"55-59.99",IF(BN28&lt;=6.5,"60-64.99",IF(BN28&lt;=7.5,"65-69.99",IF(BN28&lt;=8.5,"70-74.99",IF(BN28&lt;=9.5,"75-79.99","10")))))))</f>
        <v>70-74.99</v>
      </c>
      <c r="BS28">
        <f>RANK(BN28,$BN$3:$BN$135)</f>
        <v>24</v>
      </c>
    </row>
    <row r="29" spans="1:71" x14ac:dyDescent="0.25">
      <c r="A29" s="14" t="str">
        <f>[2]Sheet1!$A48</f>
        <v>MMS18-20/047</v>
      </c>
      <c r="B29" s="15" t="str">
        <f>[2]Sheet1!$B48</f>
        <v>KORE PRASHEEL PRASHANT SHEELA</v>
      </c>
      <c r="C29" s="16">
        <f>'[3]1st Subject'!$C49</f>
        <v>32</v>
      </c>
      <c r="D29" s="16">
        <f>'[3]1st Subject'!$D49</f>
        <v>42</v>
      </c>
      <c r="E29" s="27">
        <f>D29+C29</f>
        <v>74</v>
      </c>
      <c r="F29" s="18" t="str">
        <f>IF(E29&lt;50,"F",IF(E29&lt;=54.99,"P",IF(E29&lt;=59.99,"C",IF(E29&lt;=64.99,"B",IF(E29&lt;=69.99,"B+",IF(E29&lt;=74.99,"A",IF(E29&lt;=79.99,"A+","O")))))))</f>
        <v>A</v>
      </c>
      <c r="G29" s="18" t="str">
        <f>IF(E29&lt;50,"0",IF(E29&lt;=54.99,"4",IF(E29&lt;=59.99,"5",IF(E29&lt;=64.99,"6",IF(E29&lt;=69.99,"7",IF(E29&lt;=74.99,"8",IF(E29&lt;=79.99,"9","10")))))))</f>
        <v>8</v>
      </c>
      <c r="H29" s="28">
        <v>4</v>
      </c>
      <c r="I29" s="29">
        <f>G29*H29</f>
        <v>32</v>
      </c>
      <c r="J29" s="16">
        <f>'[4]2nd Subject'!$C49</f>
        <v>32</v>
      </c>
      <c r="K29" s="16">
        <f>'[4]2nd Subject'!$D49</f>
        <v>42</v>
      </c>
      <c r="L29" s="27">
        <f>K29+J29</f>
        <v>74</v>
      </c>
      <c r="M29" s="18" t="str">
        <f>IF(L29&lt;50,"F",IF(L29&lt;=54.99,"P",IF(L29&lt;=59.99,"C",IF(L29&lt;=64.99,"B",IF(L29&lt;=69.99,"B+",IF(L29&lt;=74.99,"A",IF(L29&lt;=79.99,"A+","O")))))))</f>
        <v>A</v>
      </c>
      <c r="N29" s="18" t="str">
        <f>IF(L29&lt;50,"0",IF(L29&lt;=54.99,"4",IF(L29&lt;=59.99,"5",IF(L29&lt;=64.99,"6",IF(L29&lt;=69.99,"7",IF(L29&lt;=74.99,"8",IF(L29&lt;=79.99,"9","10")))))))</f>
        <v>8</v>
      </c>
      <c r="O29" s="28">
        <v>4</v>
      </c>
      <c r="P29" s="29">
        <f>N29*O29</f>
        <v>32</v>
      </c>
      <c r="Q29" s="21">
        <f>'[5]3rd Subject'!$C49</f>
        <v>32</v>
      </c>
      <c r="R29" s="21">
        <f>'[5]3rd Subject'!$D49</f>
        <v>42</v>
      </c>
      <c r="S29" s="27">
        <f>R29+Q29</f>
        <v>74</v>
      </c>
      <c r="T29" s="18" t="str">
        <f>IF(S29&lt;50,"F",IF(S29&lt;=54.99,"P",IF(S29&lt;=59.99,"C",IF(S29&lt;=64.99,"B",IF(S29&lt;=69.99,"B+",IF(S29&lt;=74.99,"A",IF(S29&lt;=79.99,"A+","O")))))))</f>
        <v>A</v>
      </c>
      <c r="U29" s="18" t="str">
        <f>IF(S29&lt;50,"0",IF(S29&lt;=54.99,"4",IF(S29&lt;=59.99,"5",IF(S29&lt;=64.99,"6",IF(S29&lt;=69.99,"7",IF(S29&lt;=74.99,"8",IF(S29&lt;=79.99,"9","10")))))))</f>
        <v>8</v>
      </c>
      <c r="V29" s="28">
        <v>4</v>
      </c>
      <c r="W29" s="29">
        <f>U29*V29</f>
        <v>32</v>
      </c>
      <c r="X29" s="22">
        <f>'[6]4th Subject'!$C49</f>
        <v>32</v>
      </c>
      <c r="Y29" s="23">
        <f>'[6]4th Subject'!$D49</f>
        <v>42</v>
      </c>
      <c r="Z29" s="27">
        <f>Y29+X29</f>
        <v>74</v>
      </c>
      <c r="AA29" s="18" t="str">
        <f>IF(Z29&lt;50,"F",IF(Z29&lt;=54.99,"P",IF(Z29&lt;=59.99,"C",IF(Z29&lt;=64.99,"B",IF(Z29&lt;=69.99,"B+",IF(Z29&lt;=74.99,"A",IF(Z29&lt;=79.99,"A+","O")))))))</f>
        <v>A</v>
      </c>
      <c r="AB29" s="18" t="str">
        <f>IF(Z29&lt;50,"0",IF(Z29&lt;=54.99,"4",IF(Z29&lt;=59.99,"5",IF(Z29&lt;=64.99,"6",IF(Z29&lt;=69.99,"7",IF(Z29&lt;=74.99,"8",IF(Z29&lt;=79.99,"9","10")))))))</f>
        <v>8</v>
      </c>
      <c r="AC29" s="28">
        <v>4</v>
      </c>
      <c r="AD29" s="29">
        <f>AB29*AC29</f>
        <v>32</v>
      </c>
      <c r="AE29" s="22">
        <f>'[7]5th Subject'!$C49</f>
        <v>32</v>
      </c>
      <c r="AF29" s="23">
        <f>'[7]5th Subject'!$D49</f>
        <v>42</v>
      </c>
      <c r="AG29" s="27">
        <f>AF29+AE29</f>
        <v>74</v>
      </c>
      <c r="AH29" s="18" t="str">
        <f>IF(AG29&lt;50,"F",IF(AG29&lt;=54.99,"P",IF(AG29&lt;=59.99,"C",IF(AG29&lt;=64.99,"B",IF(AG29&lt;=69.99,"B+",IF(AG29&lt;=74.99,"A",IF(AG29&lt;=79.99,"A+","O")))))))</f>
        <v>A</v>
      </c>
      <c r="AI29" s="18" t="str">
        <f>IF(AG29&lt;50,"0",IF(AG29&lt;=54.99,"4",IF(AG29&lt;=59.99,"5",IF(AG29&lt;=64.99,"6",IF(AG29&lt;=69.99,"7",IF(AG29&lt;=74.99,"8",IF(AG29&lt;=79.99,"9","10")))))))</f>
        <v>8</v>
      </c>
      <c r="AJ29" s="28">
        <v>4</v>
      </c>
      <c r="AK29" s="29">
        <f>AI29*AJ29</f>
        <v>32</v>
      </c>
      <c r="AL29" s="22">
        <f>'[8]6th Subject'!$C49</f>
        <v>32</v>
      </c>
      <c r="AM29" s="22">
        <f>'[8]6th Subject'!$D49</f>
        <v>42</v>
      </c>
      <c r="AN29" s="27">
        <f>AM29+AL29</f>
        <v>74</v>
      </c>
      <c r="AO29" s="18" t="str">
        <f>IF(AN29&lt;50,"F",IF(AN29&lt;=54.99,"P",IF(AN29&lt;=59.99,"C",IF(AN29&lt;=64.99,"B",IF(AN29&lt;=69.99,"B+",IF(AN29&lt;=74.99,"A",IF(AN29&lt;=79.99,"A+","O")))))))</f>
        <v>A</v>
      </c>
      <c r="AP29" s="18" t="str">
        <f>IF(AN29&lt;50,"0",IF(AN29&lt;=54.99,"4",IF(AN29&lt;=59.99,"5",IF(AN29&lt;=64.99,"6",IF(AN29&lt;=69.99,"7",IF(AN29&lt;=74.99,"8",IF(AN29&lt;=79.99,"9","10")))))))</f>
        <v>8</v>
      </c>
      <c r="AQ29" s="28">
        <v>4</v>
      </c>
      <c r="AR29" s="29">
        <f>AP29*AQ29</f>
        <v>32</v>
      </c>
      <c r="AS29" s="16">
        <f>'[9]7th Subject'!$C49</f>
        <v>32</v>
      </c>
      <c r="AT29" s="16">
        <f>'[9]7th Subject'!$D49</f>
        <v>42</v>
      </c>
      <c r="AU29" s="27">
        <f>AT29+AS29</f>
        <v>74</v>
      </c>
      <c r="AV29" s="18" t="str">
        <f>IF(AU29&lt;50,"F",IF(AU29&lt;=54.99,"P",IF(AU29&lt;=59.99,"C",IF(AU29&lt;=64.99,"B",IF(AU29&lt;=69.99,"B+",IF(AU29&lt;=74.99,"A",IF(AU29&lt;=79.99,"A+","O")))))))</f>
        <v>A</v>
      </c>
      <c r="AW29" s="18" t="str">
        <f>IF(AU29&lt;50,"0",IF(AU29&lt;=54.99,"4",IF(AU29&lt;=59.99,"5",IF(AU29&lt;=64.99,"6",IF(AU29&lt;=69.99,"7",IF(AU29&lt;=74.99,"8",IF(AU29&lt;=79.99,"9","10")))))))</f>
        <v>8</v>
      </c>
      <c r="AX29" s="28">
        <v>4</v>
      </c>
      <c r="AY29" s="29">
        <f>AW29*AX29</f>
        <v>32</v>
      </c>
      <c r="AZ29" s="22">
        <f>'[10]8th Subject'!$C49</f>
        <v>32</v>
      </c>
      <c r="BA29" s="22">
        <f>'[10]8th Subject'!$D49</f>
        <v>42</v>
      </c>
      <c r="BB29" s="27">
        <f>BA29+AZ29</f>
        <v>74</v>
      </c>
      <c r="BC29" s="18" t="str">
        <f>IF(BB29&lt;50,"F",IF(BB29&lt;=54.99,"P",IF(BB29&lt;=59.99,"C",IF(BB29&lt;=64.99,"B",IF(BB29&lt;=69.99,"B+",IF(BB29&lt;=74.99,"A",IF(BB29&lt;=79.99,"A+","O")))))))</f>
        <v>A</v>
      </c>
      <c r="BD29" s="18" t="str">
        <f>IF(BB29&lt;50,"0",IF(BB29&lt;=54.99,"4",IF(BB29&lt;=59.99,"5",IF(BB29&lt;=64.99,"6",IF(BB29&lt;=69.99,"7",IF(BB29&lt;=74.99,"8",IF(BB29&lt;=79.99,"9","10")))))))</f>
        <v>8</v>
      </c>
      <c r="BE29" s="28">
        <v>4</v>
      </c>
      <c r="BF29" s="29">
        <f>BD29*BE29</f>
        <v>32</v>
      </c>
      <c r="BG29" s="27">
        <f>AZ29+AS29+AE29+X29+J29+C29+Q29+AL29</f>
        <v>256</v>
      </c>
      <c r="BH29" s="27">
        <f>BA29+AT29+AF29+Y29+K29+D29+R29+AM29</f>
        <v>336</v>
      </c>
      <c r="BI29" s="27">
        <f>BH29+BG29</f>
        <v>592</v>
      </c>
      <c r="BJ29" s="30">
        <f>G29+N29+U29+AB29+AI29+AP29+BD29+AW29</f>
        <v>64</v>
      </c>
      <c r="BK29" s="30">
        <f>I29+P29+W29+AD29+AK29+AY29+BF29+AR29</f>
        <v>256</v>
      </c>
      <c r="BL29" s="25">
        <f>(BN29-0.75)*10</f>
        <v>72.5</v>
      </c>
      <c r="BM29" s="17" t="str">
        <f>IF(OR(C29&lt;20,D29&lt;30,J29&lt;20,K29&lt;30,Q29&lt;20,R29&lt;30,X29&lt;20,Y29&lt;30,AE29&lt;20,AF29&lt;30,AL29&lt;20,AM29&lt;30,AS29&lt;20,AT29&lt;30,AZ29&lt;20,BA29&lt;30),"Unsuccessful","Successful")</f>
        <v>Successful</v>
      </c>
      <c r="BN29" s="31">
        <f>BK29/32</f>
        <v>8</v>
      </c>
      <c r="BO29" s="18" t="str">
        <f>IF(BN29&lt;=4,"F",IF(BN29&lt;=4.5,"P",IF(BN29&lt;=5.5,"C",IF(BN29&lt;=6.5,"B",IF(BN29&lt;=7.5,"B+",IF(BN29&lt;=8.5,"A",IF(BN29&lt;=9.5,"A+","O")))))))</f>
        <v>A</v>
      </c>
      <c r="BP29" s="14" t="str">
        <f>IF(BN29&lt;=4,"50",IF(BN29&lt;=4.5,"50-54.99",IF(BN29&lt;=5.5,"55-59.99",IF(BN29&lt;=6.5,"60-64.99",IF(BN29&lt;=7.5,"65-69.99",IF(BN29&lt;=8.5,"70-74.99",IF(BN29&lt;=9.5,"75-79.99","10")))))))</f>
        <v>70-74.99</v>
      </c>
      <c r="BS29">
        <f>RANK(BN29,$BN$3:$BN$135)</f>
        <v>24</v>
      </c>
    </row>
    <row r="30" spans="1:71" x14ac:dyDescent="0.25">
      <c r="A30" s="14" t="str">
        <f>[2]Sheet1!$A59</f>
        <v>MMS18-20/058</v>
      </c>
      <c r="B30" s="15" t="str">
        <f>[2]Sheet1!$B59</f>
        <v>SINGH ASHWIN BHAGWANPRASAD SADHANA</v>
      </c>
      <c r="C30" s="16">
        <f>'[3]1st Subject'!$C60</f>
        <v>32</v>
      </c>
      <c r="D30" s="16">
        <f>'[3]1st Subject'!$D60</f>
        <v>42</v>
      </c>
      <c r="E30" s="27">
        <f>D30+C30</f>
        <v>74</v>
      </c>
      <c r="F30" s="18" t="str">
        <f>IF(E30&lt;50,"F",IF(E30&lt;=54.99,"P",IF(E30&lt;=59.99,"C",IF(E30&lt;=64.99,"B",IF(E30&lt;=69.99,"B+",IF(E30&lt;=74.99,"A",IF(E30&lt;=79.99,"A+","O")))))))</f>
        <v>A</v>
      </c>
      <c r="G30" s="18" t="str">
        <f>IF(E30&lt;50,"0",IF(E30&lt;=54.99,"4",IF(E30&lt;=59.99,"5",IF(E30&lt;=64.99,"6",IF(E30&lt;=69.99,"7",IF(E30&lt;=74.99,"8",IF(E30&lt;=79.99,"9","10")))))))</f>
        <v>8</v>
      </c>
      <c r="H30" s="28">
        <v>4</v>
      </c>
      <c r="I30" s="29">
        <f>G30*H30</f>
        <v>32</v>
      </c>
      <c r="J30" s="16">
        <f>'[4]2nd Subject'!$C60</f>
        <v>32</v>
      </c>
      <c r="K30" s="16">
        <f>'[4]2nd Subject'!$D60</f>
        <v>42</v>
      </c>
      <c r="L30" s="27">
        <f>K30+J30</f>
        <v>74</v>
      </c>
      <c r="M30" s="18" t="str">
        <f>IF(L30&lt;50,"F",IF(L30&lt;=54.99,"P",IF(L30&lt;=59.99,"C",IF(L30&lt;=64.99,"B",IF(L30&lt;=69.99,"B+",IF(L30&lt;=74.99,"A",IF(L30&lt;=79.99,"A+","O")))))))</f>
        <v>A</v>
      </c>
      <c r="N30" s="18" t="str">
        <f>IF(L30&lt;50,"0",IF(L30&lt;=54.99,"4",IF(L30&lt;=59.99,"5",IF(L30&lt;=64.99,"6",IF(L30&lt;=69.99,"7",IF(L30&lt;=74.99,"8",IF(L30&lt;=79.99,"9","10")))))))</f>
        <v>8</v>
      </c>
      <c r="O30" s="28">
        <v>4</v>
      </c>
      <c r="P30" s="29">
        <f>N30*O30</f>
        <v>32</v>
      </c>
      <c r="Q30" s="21">
        <f>'[5]3rd Subject'!$C60</f>
        <v>32</v>
      </c>
      <c r="R30" s="21">
        <f>'[5]3rd Subject'!$D60</f>
        <v>42</v>
      </c>
      <c r="S30" s="27">
        <f>R30+Q30</f>
        <v>74</v>
      </c>
      <c r="T30" s="18" t="str">
        <f>IF(S30&lt;50,"F",IF(S30&lt;=54.99,"P",IF(S30&lt;=59.99,"C",IF(S30&lt;=64.99,"B",IF(S30&lt;=69.99,"B+",IF(S30&lt;=74.99,"A",IF(S30&lt;=79.99,"A+","O")))))))</f>
        <v>A</v>
      </c>
      <c r="U30" s="18" t="str">
        <f>IF(S30&lt;50,"0",IF(S30&lt;=54.99,"4",IF(S30&lt;=59.99,"5",IF(S30&lt;=64.99,"6",IF(S30&lt;=69.99,"7",IF(S30&lt;=74.99,"8",IF(S30&lt;=79.99,"9","10")))))))</f>
        <v>8</v>
      </c>
      <c r="V30" s="28">
        <v>4</v>
      </c>
      <c r="W30" s="29">
        <f>U30*V30</f>
        <v>32</v>
      </c>
      <c r="X30" s="22">
        <f>'[6]4th Subject'!$C60</f>
        <v>32</v>
      </c>
      <c r="Y30" s="23">
        <f>'[6]4th Subject'!$D60</f>
        <v>42</v>
      </c>
      <c r="Z30" s="27">
        <f>Y30+X30</f>
        <v>74</v>
      </c>
      <c r="AA30" s="18" t="str">
        <f>IF(Z30&lt;50,"F",IF(Z30&lt;=54.99,"P",IF(Z30&lt;=59.99,"C",IF(Z30&lt;=64.99,"B",IF(Z30&lt;=69.99,"B+",IF(Z30&lt;=74.99,"A",IF(Z30&lt;=79.99,"A+","O")))))))</f>
        <v>A</v>
      </c>
      <c r="AB30" s="18" t="str">
        <f>IF(Z30&lt;50,"0",IF(Z30&lt;=54.99,"4",IF(Z30&lt;=59.99,"5",IF(Z30&lt;=64.99,"6",IF(Z30&lt;=69.99,"7",IF(Z30&lt;=74.99,"8",IF(Z30&lt;=79.99,"9","10")))))))</f>
        <v>8</v>
      </c>
      <c r="AC30" s="28">
        <v>4</v>
      </c>
      <c r="AD30" s="29">
        <f>AB30*AC30</f>
        <v>32</v>
      </c>
      <c r="AE30" s="22">
        <f>'[7]5th Subject'!$C60</f>
        <v>32</v>
      </c>
      <c r="AF30" s="23">
        <f>'[7]5th Subject'!$D60</f>
        <v>42</v>
      </c>
      <c r="AG30" s="27">
        <f>AF30+AE30</f>
        <v>74</v>
      </c>
      <c r="AH30" s="18" t="str">
        <f>IF(AG30&lt;50,"F",IF(AG30&lt;=54.99,"P",IF(AG30&lt;=59.99,"C",IF(AG30&lt;=64.99,"B",IF(AG30&lt;=69.99,"B+",IF(AG30&lt;=74.99,"A",IF(AG30&lt;=79.99,"A+","O")))))))</f>
        <v>A</v>
      </c>
      <c r="AI30" s="18" t="str">
        <f>IF(AG30&lt;50,"0",IF(AG30&lt;=54.99,"4",IF(AG30&lt;=59.99,"5",IF(AG30&lt;=64.99,"6",IF(AG30&lt;=69.99,"7",IF(AG30&lt;=74.99,"8",IF(AG30&lt;=79.99,"9","10")))))))</f>
        <v>8</v>
      </c>
      <c r="AJ30" s="28">
        <v>4</v>
      </c>
      <c r="AK30" s="29">
        <f>AI30*AJ30</f>
        <v>32</v>
      </c>
      <c r="AL30" s="22">
        <f>'[8]6th Subject'!$C60</f>
        <v>32</v>
      </c>
      <c r="AM30" s="22">
        <f>'[8]6th Subject'!$D60</f>
        <v>42</v>
      </c>
      <c r="AN30" s="27">
        <f>AM30+AL30</f>
        <v>74</v>
      </c>
      <c r="AO30" s="18" t="str">
        <f>IF(AN30&lt;50,"F",IF(AN30&lt;=54.99,"P",IF(AN30&lt;=59.99,"C",IF(AN30&lt;=64.99,"B",IF(AN30&lt;=69.99,"B+",IF(AN30&lt;=74.99,"A",IF(AN30&lt;=79.99,"A+","O")))))))</f>
        <v>A</v>
      </c>
      <c r="AP30" s="18" t="str">
        <f>IF(AN30&lt;50,"0",IF(AN30&lt;=54.99,"4",IF(AN30&lt;=59.99,"5",IF(AN30&lt;=64.99,"6",IF(AN30&lt;=69.99,"7",IF(AN30&lt;=74.99,"8",IF(AN30&lt;=79.99,"9","10")))))))</f>
        <v>8</v>
      </c>
      <c r="AQ30" s="28">
        <v>4</v>
      </c>
      <c r="AR30" s="29">
        <f>AP30*AQ30</f>
        <v>32</v>
      </c>
      <c r="AS30" s="16">
        <f>'[9]7th Subject'!$C60</f>
        <v>32</v>
      </c>
      <c r="AT30" s="16">
        <f>'[9]7th Subject'!$D60</f>
        <v>42</v>
      </c>
      <c r="AU30" s="27">
        <f>AT30+AS30</f>
        <v>74</v>
      </c>
      <c r="AV30" s="18" t="str">
        <f>IF(AU30&lt;50,"F",IF(AU30&lt;=54.99,"P",IF(AU30&lt;=59.99,"C",IF(AU30&lt;=64.99,"B",IF(AU30&lt;=69.99,"B+",IF(AU30&lt;=74.99,"A",IF(AU30&lt;=79.99,"A+","O")))))))</f>
        <v>A</v>
      </c>
      <c r="AW30" s="18" t="str">
        <f>IF(AU30&lt;50,"0",IF(AU30&lt;=54.99,"4",IF(AU30&lt;=59.99,"5",IF(AU30&lt;=64.99,"6",IF(AU30&lt;=69.99,"7",IF(AU30&lt;=74.99,"8",IF(AU30&lt;=79.99,"9","10")))))))</f>
        <v>8</v>
      </c>
      <c r="AX30" s="28">
        <v>4</v>
      </c>
      <c r="AY30" s="29">
        <f>AW30*AX30</f>
        <v>32</v>
      </c>
      <c r="AZ30" s="22">
        <f>'[10]8th Subject'!$C60</f>
        <v>32</v>
      </c>
      <c r="BA30" s="22">
        <f>'[10]8th Subject'!$D60</f>
        <v>42</v>
      </c>
      <c r="BB30" s="27">
        <f>BA30+AZ30</f>
        <v>74</v>
      </c>
      <c r="BC30" s="18" t="str">
        <f>IF(BB30&lt;50,"F",IF(BB30&lt;=54.99,"P",IF(BB30&lt;=59.99,"C",IF(BB30&lt;=64.99,"B",IF(BB30&lt;=69.99,"B+",IF(BB30&lt;=74.99,"A",IF(BB30&lt;=79.99,"A+","O")))))))</f>
        <v>A</v>
      </c>
      <c r="BD30" s="18" t="str">
        <f>IF(BB30&lt;50,"0",IF(BB30&lt;=54.99,"4",IF(BB30&lt;=59.99,"5",IF(BB30&lt;=64.99,"6",IF(BB30&lt;=69.99,"7",IF(BB30&lt;=74.99,"8",IF(BB30&lt;=79.99,"9","10")))))))</f>
        <v>8</v>
      </c>
      <c r="BE30" s="28">
        <v>4</v>
      </c>
      <c r="BF30" s="29">
        <f>BD30*BE30</f>
        <v>32</v>
      </c>
      <c r="BG30" s="27">
        <f>AZ30+AS30+AE30+X30+J30+C30+Q30+AL30</f>
        <v>256</v>
      </c>
      <c r="BH30" s="27">
        <f>BA30+AT30+AF30+Y30+K30+D30+R30+AM30</f>
        <v>336</v>
      </c>
      <c r="BI30" s="27">
        <f>BH30+BG30</f>
        <v>592</v>
      </c>
      <c r="BJ30" s="30">
        <f>G30+N30+U30+AB30+AI30+AP30+BD30+AW30</f>
        <v>64</v>
      </c>
      <c r="BK30" s="30">
        <f>I30+P30+W30+AD30+AK30+AY30+BF30+AR30</f>
        <v>256</v>
      </c>
      <c r="BL30" s="25">
        <f>(BN30-0.75)*10</f>
        <v>72.5</v>
      </c>
      <c r="BM30" s="17" t="str">
        <f>IF(OR(C30&lt;20,D30&lt;30,J30&lt;20,K30&lt;30,Q30&lt;20,R30&lt;30,X30&lt;20,Y30&lt;30,AE30&lt;20,AF30&lt;30,AL30&lt;20,AM30&lt;30,AS30&lt;20,AT30&lt;30,AZ30&lt;20,BA30&lt;30),"Unsuccessful","Successful")</f>
        <v>Successful</v>
      </c>
      <c r="BN30" s="31">
        <f>BK30/32</f>
        <v>8</v>
      </c>
      <c r="BO30" s="18" t="str">
        <f>IF(BN30&lt;=4,"F",IF(BN30&lt;=4.5,"P",IF(BN30&lt;=5.5,"C",IF(BN30&lt;=6.5,"B",IF(BN30&lt;=7.5,"B+",IF(BN30&lt;=8.5,"A",IF(BN30&lt;=9.5,"A+","O")))))))</f>
        <v>A</v>
      </c>
      <c r="BP30" s="14" t="str">
        <f>IF(BN30&lt;=4,"50",IF(BN30&lt;=4.5,"50-54.99",IF(BN30&lt;=5.5,"55-59.99",IF(BN30&lt;=6.5,"60-64.99",IF(BN30&lt;=7.5,"65-69.99",IF(BN30&lt;=8.5,"70-74.99",IF(BN30&lt;=9.5,"75-79.99","10")))))))</f>
        <v>70-74.99</v>
      </c>
      <c r="BS30">
        <f>RANK(BN30,$BN$3:$BN$135)</f>
        <v>24</v>
      </c>
    </row>
    <row r="31" spans="1:71" x14ac:dyDescent="0.25">
      <c r="A31" s="14" t="str">
        <f>[2]Sheet1!$A70</f>
        <v>MMS18-20/069</v>
      </c>
      <c r="B31" s="15" t="str">
        <f>[2]Sheet1!$B70</f>
        <v>GUPTA PRAMOD OMPRAKASH RAMAVATI</v>
      </c>
      <c r="C31" s="16">
        <f>'[3]1st Subject'!$C71</f>
        <v>32</v>
      </c>
      <c r="D31" s="16">
        <f>'[3]1st Subject'!$D71</f>
        <v>42</v>
      </c>
      <c r="E31" s="27">
        <f>D31+C31</f>
        <v>74</v>
      </c>
      <c r="F31" s="18" t="str">
        <f>IF(E31&lt;50,"F",IF(E31&lt;=54.99,"P",IF(E31&lt;=59.99,"C",IF(E31&lt;=64.99,"B",IF(E31&lt;=69.99,"B+",IF(E31&lt;=74.99,"A",IF(E31&lt;=79.99,"A+","O")))))))</f>
        <v>A</v>
      </c>
      <c r="G31" s="18" t="str">
        <f>IF(E31&lt;50,"0",IF(E31&lt;=54.99,"4",IF(E31&lt;=59.99,"5",IF(E31&lt;=64.99,"6",IF(E31&lt;=69.99,"7",IF(E31&lt;=74.99,"8",IF(E31&lt;=79.99,"9","10")))))))</f>
        <v>8</v>
      </c>
      <c r="H31" s="28">
        <v>4</v>
      </c>
      <c r="I31" s="29">
        <f>G31*H31</f>
        <v>32</v>
      </c>
      <c r="J31" s="16">
        <f>'[4]2nd Subject'!$C71</f>
        <v>32</v>
      </c>
      <c r="K31" s="16">
        <f>'[4]2nd Subject'!$D71</f>
        <v>42</v>
      </c>
      <c r="L31" s="27">
        <f>K31+J31</f>
        <v>74</v>
      </c>
      <c r="M31" s="18" t="str">
        <f>IF(L31&lt;50,"F",IF(L31&lt;=54.99,"P",IF(L31&lt;=59.99,"C",IF(L31&lt;=64.99,"B",IF(L31&lt;=69.99,"B+",IF(L31&lt;=74.99,"A",IF(L31&lt;=79.99,"A+","O")))))))</f>
        <v>A</v>
      </c>
      <c r="N31" s="18" t="str">
        <f>IF(L31&lt;50,"0",IF(L31&lt;=54.99,"4",IF(L31&lt;=59.99,"5",IF(L31&lt;=64.99,"6",IF(L31&lt;=69.99,"7",IF(L31&lt;=74.99,"8",IF(L31&lt;=79.99,"9","10")))))))</f>
        <v>8</v>
      </c>
      <c r="O31" s="28">
        <v>4</v>
      </c>
      <c r="P31" s="29">
        <f>N31*O31</f>
        <v>32</v>
      </c>
      <c r="Q31" s="21">
        <f>'[5]3rd Subject'!$C71</f>
        <v>32</v>
      </c>
      <c r="R31" s="21">
        <f>'[5]3rd Subject'!$D71</f>
        <v>42</v>
      </c>
      <c r="S31" s="27">
        <f>R31+Q31</f>
        <v>74</v>
      </c>
      <c r="T31" s="18" t="str">
        <f>IF(S31&lt;50,"F",IF(S31&lt;=54.99,"P",IF(S31&lt;=59.99,"C",IF(S31&lt;=64.99,"B",IF(S31&lt;=69.99,"B+",IF(S31&lt;=74.99,"A",IF(S31&lt;=79.99,"A+","O")))))))</f>
        <v>A</v>
      </c>
      <c r="U31" s="18" t="str">
        <f>IF(S31&lt;50,"0",IF(S31&lt;=54.99,"4",IF(S31&lt;=59.99,"5",IF(S31&lt;=64.99,"6",IF(S31&lt;=69.99,"7",IF(S31&lt;=74.99,"8",IF(S31&lt;=79.99,"9","10")))))))</f>
        <v>8</v>
      </c>
      <c r="V31" s="28">
        <v>4</v>
      </c>
      <c r="W31" s="29">
        <f>U31*V31</f>
        <v>32</v>
      </c>
      <c r="X31" s="22">
        <f>'[6]4th Subject'!$C71</f>
        <v>32</v>
      </c>
      <c r="Y31" s="23">
        <f>'[6]4th Subject'!$D71</f>
        <v>42</v>
      </c>
      <c r="Z31" s="27">
        <f>Y31+X31</f>
        <v>74</v>
      </c>
      <c r="AA31" s="18" t="str">
        <f>IF(Z31&lt;50,"F",IF(Z31&lt;=54.99,"P",IF(Z31&lt;=59.99,"C",IF(Z31&lt;=64.99,"B",IF(Z31&lt;=69.99,"B+",IF(Z31&lt;=74.99,"A",IF(Z31&lt;=79.99,"A+","O")))))))</f>
        <v>A</v>
      </c>
      <c r="AB31" s="18" t="str">
        <f>IF(Z31&lt;50,"0",IF(Z31&lt;=54.99,"4",IF(Z31&lt;=59.99,"5",IF(Z31&lt;=64.99,"6",IF(Z31&lt;=69.99,"7",IF(Z31&lt;=74.99,"8",IF(Z31&lt;=79.99,"9","10")))))))</f>
        <v>8</v>
      </c>
      <c r="AC31" s="28">
        <v>4</v>
      </c>
      <c r="AD31" s="29">
        <f>AB31*AC31</f>
        <v>32</v>
      </c>
      <c r="AE31" s="22">
        <f>'[7]5th Subject'!$C71</f>
        <v>32</v>
      </c>
      <c r="AF31" s="23">
        <f>'[7]5th Subject'!$D71</f>
        <v>42</v>
      </c>
      <c r="AG31" s="27">
        <f>AF31+AE31</f>
        <v>74</v>
      </c>
      <c r="AH31" s="18" t="str">
        <f>IF(AG31&lt;50,"F",IF(AG31&lt;=54.99,"P",IF(AG31&lt;=59.99,"C",IF(AG31&lt;=64.99,"B",IF(AG31&lt;=69.99,"B+",IF(AG31&lt;=74.99,"A",IF(AG31&lt;=79.99,"A+","O")))))))</f>
        <v>A</v>
      </c>
      <c r="AI31" s="18" t="str">
        <f>IF(AG31&lt;50,"0",IF(AG31&lt;=54.99,"4",IF(AG31&lt;=59.99,"5",IF(AG31&lt;=64.99,"6",IF(AG31&lt;=69.99,"7",IF(AG31&lt;=74.99,"8",IF(AG31&lt;=79.99,"9","10")))))))</f>
        <v>8</v>
      </c>
      <c r="AJ31" s="28">
        <v>4</v>
      </c>
      <c r="AK31" s="29">
        <f>AI31*AJ31</f>
        <v>32</v>
      </c>
      <c r="AL31" s="22">
        <f>'[8]6th Subject'!$C71</f>
        <v>32</v>
      </c>
      <c r="AM31" s="22">
        <f>'[8]6th Subject'!$D71</f>
        <v>42</v>
      </c>
      <c r="AN31" s="27">
        <f>AM31+AL31</f>
        <v>74</v>
      </c>
      <c r="AO31" s="18" t="str">
        <f>IF(AN31&lt;50,"F",IF(AN31&lt;=54.99,"P",IF(AN31&lt;=59.99,"C",IF(AN31&lt;=64.99,"B",IF(AN31&lt;=69.99,"B+",IF(AN31&lt;=74.99,"A",IF(AN31&lt;=79.99,"A+","O")))))))</f>
        <v>A</v>
      </c>
      <c r="AP31" s="18" t="str">
        <f>IF(AN31&lt;50,"0",IF(AN31&lt;=54.99,"4",IF(AN31&lt;=59.99,"5",IF(AN31&lt;=64.99,"6",IF(AN31&lt;=69.99,"7",IF(AN31&lt;=74.99,"8",IF(AN31&lt;=79.99,"9","10")))))))</f>
        <v>8</v>
      </c>
      <c r="AQ31" s="28">
        <v>4</v>
      </c>
      <c r="AR31" s="29">
        <f>AP31*AQ31</f>
        <v>32</v>
      </c>
      <c r="AS31" s="16">
        <f>'[9]7th Subject'!$C71</f>
        <v>32</v>
      </c>
      <c r="AT31" s="16">
        <f>'[9]7th Subject'!$D71</f>
        <v>42</v>
      </c>
      <c r="AU31" s="27">
        <f>AT31+AS31</f>
        <v>74</v>
      </c>
      <c r="AV31" s="18" t="str">
        <f>IF(AU31&lt;50,"F",IF(AU31&lt;=54.99,"P",IF(AU31&lt;=59.99,"C",IF(AU31&lt;=64.99,"B",IF(AU31&lt;=69.99,"B+",IF(AU31&lt;=74.99,"A",IF(AU31&lt;=79.99,"A+","O")))))))</f>
        <v>A</v>
      </c>
      <c r="AW31" s="18" t="str">
        <f>IF(AU31&lt;50,"0",IF(AU31&lt;=54.99,"4",IF(AU31&lt;=59.99,"5",IF(AU31&lt;=64.99,"6",IF(AU31&lt;=69.99,"7",IF(AU31&lt;=74.99,"8",IF(AU31&lt;=79.99,"9","10")))))))</f>
        <v>8</v>
      </c>
      <c r="AX31" s="28">
        <v>4</v>
      </c>
      <c r="AY31" s="29">
        <f>AW31*AX31</f>
        <v>32</v>
      </c>
      <c r="AZ31" s="22">
        <f>'[10]8th Subject'!$C71</f>
        <v>32</v>
      </c>
      <c r="BA31" s="22">
        <f>'[10]8th Subject'!$D71</f>
        <v>42</v>
      </c>
      <c r="BB31" s="27">
        <f>BA31+AZ31</f>
        <v>74</v>
      </c>
      <c r="BC31" s="18" t="str">
        <f>IF(BB31&lt;50,"F",IF(BB31&lt;=54.99,"P",IF(BB31&lt;=59.99,"C",IF(BB31&lt;=64.99,"B",IF(BB31&lt;=69.99,"B+",IF(BB31&lt;=74.99,"A",IF(BB31&lt;=79.99,"A+","O")))))))</f>
        <v>A</v>
      </c>
      <c r="BD31" s="18" t="str">
        <f>IF(BB31&lt;50,"0",IF(BB31&lt;=54.99,"4",IF(BB31&lt;=59.99,"5",IF(BB31&lt;=64.99,"6",IF(BB31&lt;=69.99,"7",IF(BB31&lt;=74.99,"8",IF(BB31&lt;=79.99,"9","10")))))))</f>
        <v>8</v>
      </c>
      <c r="BE31" s="28">
        <v>4</v>
      </c>
      <c r="BF31" s="29">
        <f>BD31*BE31</f>
        <v>32</v>
      </c>
      <c r="BG31" s="27">
        <f>AZ31+AS31+AE31+X31+J31+C31+Q31+AL31</f>
        <v>256</v>
      </c>
      <c r="BH31" s="27">
        <f>BA31+AT31+AF31+Y31+K31+D31+R31+AM31</f>
        <v>336</v>
      </c>
      <c r="BI31" s="27">
        <f>BH31+BG31</f>
        <v>592</v>
      </c>
      <c r="BJ31" s="30">
        <f>G31+N31+U31+AB31+AI31+AP31+BD31+AW31</f>
        <v>64</v>
      </c>
      <c r="BK31" s="30">
        <f>I31+P31+W31+AD31+AK31+AY31+BF31+AR31</f>
        <v>256</v>
      </c>
      <c r="BL31" s="25">
        <f>(BN31-0.75)*10</f>
        <v>72.5</v>
      </c>
      <c r="BM31" s="17" t="str">
        <f>IF(OR(C31&lt;20,D31&lt;30,J31&lt;20,K31&lt;30,Q31&lt;20,R31&lt;30,X31&lt;20,Y31&lt;30,AE31&lt;20,AF31&lt;30,AL31&lt;20,AM31&lt;30,AS31&lt;20,AT31&lt;30,AZ31&lt;20,BA31&lt;30),"Unsuccessful","Successful")</f>
        <v>Successful</v>
      </c>
      <c r="BN31" s="31">
        <f>BK31/32</f>
        <v>8</v>
      </c>
      <c r="BO31" s="18" t="str">
        <f>IF(BN31&lt;=4,"F",IF(BN31&lt;=4.5,"P",IF(BN31&lt;=5.5,"C",IF(BN31&lt;=6.5,"B",IF(BN31&lt;=7.5,"B+",IF(BN31&lt;=8.5,"A",IF(BN31&lt;=9.5,"A+","O")))))))</f>
        <v>A</v>
      </c>
      <c r="BP31" s="14" t="str">
        <f>IF(BN31&lt;=4,"50",IF(BN31&lt;=4.5,"50-54.99",IF(BN31&lt;=5.5,"55-59.99",IF(BN31&lt;=6.5,"60-64.99",IF(BN31&lt;=7.5,"65-69.99",IF(BN31&lt;=8.5,"70-74.99",IF(BN31&lt;=9.5,"75-79.99","10")))))))</f>
        <v>70-74.99</v>
      </c>
      <c r="BS31">
        <f>RANK(BN31,$BN$3:$BN$135)</f>
        <v>24</v>
      </c>
    </row>
    <row r="32" spans="1:71" x14ac:dyDescent="0.25">
      <c r="A32" s="14" t="str">
        <f>[2]Sheet1!$A81</f>
        <v>MMS18-20/080</v>
      </c>
      <c r="B32" s="15" t="str">
        <f>[2]Sheet1!$B81</f>
        <v>/PATIL CHAITALEE NARESH NAMITA</v>
      </c>
      <c r="C32" s="16">
        <f>'[3]1st Subject'!$C82</f>
        <v>32</v>
      </c>
      <c r="D32" s="16">
        <f>'[3]1st Subject'!$D82</f>
        <v>42</v>
      </c>
      <c r="E32" s="27">
        <f>D32+C32</f>
        <v>74</v>
      </c>
      <c r="F32" s="18" t="str">
        <f>IF(E32&lt;50,"F",IF(E32&lt;=54.99,"P",IF(E32&lt;=59.99,"C",IF(E32&lt;=64.99,"B",IF(E32&lt;=69.99,"B+",IF(E32&lt;=74.99,"A",IF(E32&lt;=79.99,"A+","O")))))))</f>
        <v>A</v>
      </c>
      <c r="G32" s="18" t="str">
        <f>IF(E32&lt;50,"0",IF(E32&lt;=54.99,"4",IF(E32&lt;=59.99,"5",IF(E32&lt;=64.99,"6",IF(E32&lt;=69.99,"7",IF(E32&lt;=74.99,"8",IF(E32&lt;=79.99,"9","10")))))))</f>
        <v>8</v>
      </c>
      <c r="H32" s="28">
        <v>4</v>
      </c>
      <c r="I32" s="29">
        <f>G32*H32</f>
        <v>32</v>
      </c>
      <c r="J32" s="16">
        <f>'[4]2nd Subject'!$C82</f>
        <v>32</v>
      </c>
      <c r="K32" s="16">
        <f>'[4]2nd Subject'!$D82</f>
        <v>42</v>
      </c>
      <c r="L32" s="27">
        <f>K32+J32</f>
        <v>74</v>
      </c>
      <c r="M32" s="18" t="str">
        <f>IF(L32&lt;50,"F",IF(L32&lt;=54.99,"P",IF(L32&lt;=59.99,"C",IF(L32&lt;=64.99,"B",IF(L32&lt;=69.99,"B+",IF(L32&lt;=74.99,"A",IF(L32&lt;=79.99,"A+","O")))))))</f>
        <v>A</v>
      </c>
      <c r="N32" s="18" t="str">
        <f>IF(L32&lt;50,"0",IF(L32&lt;=54.99,"4",IF(L32&lt;=59.99,"5",IF(L32&lt;=64.99,"6",IF(L32&lt;=69.99,"7",IF(L32&lt;=74.99,"8",IF(L32&lt;=79.99,"9","10")))))))</f>
        <v>8</v>
      </c>
      <c r="O32" s="28">
        <v>4</v>
      </c>
      <c r="P32" s="29">
        <f>N32*O32</f>
        <v>32</v>
      </c>
      <c r="Q32" s="21">
        <f>'[5]3rd Subject'!$C82</f>
        <v>32</v>
      </c>
      <c r="R32" s="21">
        <f>'[5]3rd Subject'!$D82</f>
        <v>42</v>
      </c>
      <c r="S32" s="27">
        <f>R32+Q32</f>
        <v>74</v>
      </c>
      <c r="T32" s="18" t="str">
        <f>IF(S32&lt;50,"F",IF(S32&lt;=54.99,"P",IF(S32&lt;=59.99,"C",IF(S32&lt;=64.99,"B",IF(S32&lt;=69.99,"B+",IF(S32&lt;=74.99,"A",IF(S32&lt;=79.99,"A+","O")))))))</f>
        <v>A</v>
      </c>
      <c r="U32" s="18" t="str">
        <f>IF(S32&lt;50,"0",IF(S32&lt;=54.99,"4",IF(S32&lt;=59.99,"5",IF(S32&lt;=64.99,"6",IF(S32&lt;=69.99,"7",IF(S32&lt;=74.99,"8",IF(S32&lt;=79.99,"9","10")))))))</f>
        <v>8</v>
      </c>
      <c r="V32" s="28">
        <v>4</v>
      </c>
      <c r="W32" s="29">
        <f>U32*V32</f>
        <v>32</v>
      </c>
      <c r="X32" s="22">
        <f>'[6]4th Subject'!$C82</f>
        <v>32</v>
      </c>
      <c r="Y32" s="23">
        <f>'[6]4th Subject'!$D82</f>
        <v>42</v>
      </c>
      <c r="Z32" s="27">
        <f>Y32+X32</f>
        <v>74</v>
      </c>
      <c r="AA32" s="18" t="str">
        <f>IF(Z32&lt;50,"F",IF(Z32&lt;=54.99,"P",IF(Z32&lt;=59.99,"C",IF(Z32&lt;=64.99,"B",IF(Z32&lt;=69.99,"B+",IF(Z32&lt;=74.99,"A",IF(Z32&lt;=79.99,"A+","O")))))))</f>
        <v>A</v>
      </c>
      <c r="AB32" s="18" t="str">
        <f>IF(Z32&lt;50,"0",IF(Z32&lt;=54.99,"4",IF(Z32&lt;=59.99,"5",IF(Z32&lt;=64.99,"6",IF(Z32&lt;=69.99,"7",IF(Z32&lt;=74.99,"8",IF(Z32&lt;=79.99,"9","10")))))))</f>
        <v>8</v>
      </c>
      <c r="AC32" s="28">
        <v>4</v>
      </c>
      <c r="AD32" s="29">
        <f>AB32*AC32</f>
        <v>32</v>
      </c>
      <c r="AE32" s="22">
        <f>'[7]5th Subject'!$C82</f>
        <v>32</v>
      </c>
      <c r="AF32" s="23">
        <f>'[7]5th Subject'!$D82</f>
        <v>42</v>
      </c>
      <c r="AG32" s="27">
        <f>AF32+AE32</f>
        <v>74</v>
      </c>
      <c r="AH32" s="18" t="str">
        <f>IF(AG32&lt;50,"F",IF(AG32&lt;=54.99,"P",IF(AG32&lt;=59.99,"C",IF(AG32&lt;=64.99,"B",IF(AG32&lt;=69.99,"B+",IF(AG32&lt;=74.99,"A",IF(AG32&lt;=79.99,"A+","O")))))))</f>
        <v>A</v>
      </c>
      <c r="AI32" s="18" t="str">
        <f>IF(AG32&lt;50,"0",IF(AG32&lt;=54.99,"4",IF(AG32&lt;=59.99,"5",IF(AG32&lt;=64.99,"6",IF(AG32&lt;=69.99,"7",IF(AG32&lt;=74.99,"8",IF(AG32&lt;=79.99,"9","10")))))))</f>
        <v>8</v>
      </c>
      <c r="AJ32" s="28">
        <v>4</v>
      </c>
      <c r="AK32" s="29">
        <f>AI32*AJ32</f>
        <v>32</v>
      </c>
      <c r="AL32" s="22">
        <f>'[8]6th Subject'!$C82</f>
        <v>32</v>
      </c>
      <c r="AM32" s="22">
        <f>'[8]6th Subject'!$D82</f>
        <v>42</v>
      </c>
      <c r="AN32" s="27">
        <f>AM32+AL32</f>
        <v>74</v>
      </c>
      <c r="AO32" s="18" t="str">
        <f>IF(AN32&lt;50,"F",IF(AN32&lt;=54.99,"P",IF(AN32&lt;=59.99,"C",IF(AN32&lt;=64.99,"B",IF(AN32&lt;=69.99,"B+",IF(AN32&lt;=74.99,"A",IF(AN32&lt;=79.99,"A+","O")))))))</f>
        <v>A</v>
      </c>
      <c r="AP32" s="18" t="str">
        <f>IF(AN32&lt;50,"0",IF(AN32&lt;=54.99,"4",IF(AN32&lt;=59.99,"5",IF(AN32&lt;=64.99,"6",IF(AN32&lt;=69.99,"7",IF(AN32&lt;=74.99,"8",IF(AN32&lt;=79.99,"9","10")))))))</f>
        <v>8</v>
      </c>
      <c r="AQ32" s="28">
        <v>4</v>
      </c>
      <c r="AR32" s="29">
        <f>AP32*AQ32</f>
        <v>32</v>
      </c>
      <c r="AS32" s="16">
        <f>'[9]7th Subject'!$C82</f>
        <v>32</v>
      </c>
      <c r="AT32" s="16">
        <f>'[9]7th Subject'!$D82</f>
        <v>42</v>
      </c>
      <c r="AU32" s="27">
        <f>AT32+AS32</f>
        <v>74</v>
      </c>
      <c r="AV32" s="18" t="str">
        <f>IF(AU32&lt;50,"F",IF(AU32&lt;=54.99,"P",IF(AU32&lt;=59.99,"C",IF(AU32&lt;=64.99,"B",IF(AU32&lt;=69.99,"B+",IF(AU32&lt;=74.99,"A",IF(AU32&lt;=79.99,"A+","O")))))))</f>
        <v>A</v>
      </c>
      <c r="AW32" s="18" t="str">
        <f>IF(AU32&lt;50,"0",IF(AU32&lt;=54.99,"4",IF(AU32&lt;=59.99,"5",IF(AU32&lt;=64.99,"6",IF(AU32&lt;=69.99,"7",IF(AU32&lt;=74.99,"8",IF(AU32&lt;=79.99,"9","10")))))))</f>
        <v>8</v>
      </c>
      <c r="AX32" s="28">
        <v>4</v>
      </c>
      <c r="AY32" s="29">
        <f>AW32*AX32</f>
        <v>32</v>
      </c>
      <c r="AZ32" s="22">
        <f>'[10]8th Subject'!$C82</f>
        <v>32</v>
      </c>
      <c r="BA32" s="22">
        <f>'[10]8th Subject'!$D82</f>
        <v>42</v>
      </c>
      <c r="BB32" s="27">
        <f>BA32+AZ32</f>
        <v>74</v>
      </c>
      <c r="BC32" s="18" t="str">
        <f>IF(BB32&lt;50,"F",IF(BB32&lt;=54.99,"P",IF(BB32&lt;=59.99,"C",IF(BB32&lt;=64.99,"B",IF(BB32&lt;=69.99,"B+",IF(BB32&lt;=74.99,"A",IF(BB32&lt;=79.99,"A+","O")))))))</f>
        <v>A</v>
      </c>
      <c r="BD32" s="18" t="str">
        <f>IF(BB32&lt;50,"0",IF(BB32&lt;=54.99,"4",IF(BB32&lt;=59.99,"5",IF(BB32&lt;=64.99,"6",IF(BB32&lt;=69.99,"7",IF(BB32&lt;=74.99,"8",IF(BB32&lt;=79.99,"9","10")))))))</f>
        <v>8</v>
      </c>
      <c r="BE32" s="28">
        <v>4</v>
      </c>
      <c r="BF32" s="29">
        <f>BD32*BE32</f>
        <v>32</v>
      </c>
      <c r="BG32" s="27">
        <f>AZ32+AS32+AE32+X32+J32+C32+Q32+AL32</f>
        <v>256</v>
      </c>
      <c r="BH32" s="27">
        <f>BA32+AT32+AF32+Y32+K32+D32+R32+AM32</f>
        <v>336</v>
      </c>
      <c r="BI32" s="27">
        <f>BH32+BG32</f>
        <v>592</v>
      </c>
      <c r="BJ32" s="30">
        <f>G32+N32+U32+AB32+AI32+AP32+BD32+AW32</f>
        <v>64</v>
      </c>
      <c r="BK32" s="30">
        <f>I32+P32+W32+AD32+AK32+AY32+BF32+AR32</f>
        <v>256</v>
      </c>
      <c r="BL32" s="25">
        <f>(BN32-0.75)*10</f>
        <v>72.5</v>
      </c>
      <c r="BM32" s="17" t="str">
        <f>IF(OR(C32&lt;20,D32&lt;30,J32&lt;20,K32&lt;30,Q32&lt;20,R32&lt;30,X32&lt;20,Y32&lt;30,AE32&lt;20,AF32&lt;30,AL32&lt;20,AM32&lt;30,AS32&lt;20,AT32&lt;30,AZ32&lt;20,BA32&lt;30),"Unsuccessful","Successful")</f>
        <v>Successful</v>
      </c>
      <c r="BN32" s="31">
        <f>BK32/32</f>
        <v>8</v>
      </c>
      <c r="BO32" s="18" t="str">
        <f>IF(BN32&lt;=4,"F",IF(BN32&lt;=4.5,"P",IF(BN32&lt;=5.5,"C",IF(BN32&lt;=6.5,"B",IF(BN32&lt;=7.5,"B+",IF(BN32&lt;=8.5,"A",IF(BN32&lt;=9.5,"A+","O")))))))</f>
        <v>A</v>
      </c>
      <c r="BP32" s="14" t="str">
        <f>IF(BN32&lt;=4,"50",IF(BN32&lt;=4.5,"50-54.99",IF(BN32&lt;=5.5,"55-59.99",IF(BN32&lt;=6.5,"60-64.99",IF(BN32&lt;=7.5,"65-69.99",IF(BN32&lt;=8.5,"70-74.99",IF(BN32&lt;=9.5,"75-79.99","10")))))))</f>
        <v>70-74.99</v>
      </c>
      <c r="BS32">
        <f>RANK(BN32,$BN$3:$BN$135)</f>
        <v>24</v>
      </c>
    </row>
    <row r="33" spans="1:71" x14ac:dyDescent="0.25">
      <c r="A33" s="14" t="str">
        <f>[2]Sheet1!$A92</f>
        <v>MMS18-20/091</v>
      </c>
      <c r="B33" s="15" t="str">
        <f>[2]Sheet1!$B92</f>
        <v>/SATAM NEHA ANIL ASMITA</v>
      </c>
      <c r="C33" s="16">
        <f>'[3]1st Subject'!$C93</f>
        <v>32</v>
      </c>
      <c r="D33" s="16">
        <f>'[3]1st Subject'!$D93</f>
        <v>42</v>
      </c>
      <c r="E33" s="27">
        <f>D33+C33</f>
        <v>74</v>
      </c>
      <c r="F33" s="18" t="str">
        <f>IF(E33&lt;50,"F",IF(E33&lt;=54.99,"P",IF(E33&lt;=59.99,"C",IF(E33&lt;=64.99,"B",IF(E33&lt;=69.99,"B+",IF(E33&lt;=74.99,"A",IF(E33&lt;=79.99,"A+","O")))))))</f>
        <v>A</v>
      </c>
      <c r="G33" s="18" t="str">
        <f>IF(E33&lt;50,"0",IF(E33&lt;=54.99,"4",IF(E33&lt;=59.99,"5",IF(E33&lt;=64.99,"6",IF(E33&lt;=69.99,"7",IF(E33&lt;=74.99,"8",IF(E33&lt;=79.99,"9","10")))))))</f>
        <v>8</v>
      </c>
      <c r="H33" s="28">
        <v>4</v>
      </c>
      <c r="I33" s="29">
        <f>G33*H33</f>
        <v>32</v>
      </c>
      <c r="J33" s="16">
        <f>'[4]2nd Subject'!$C93</f>
        <v>32</v>
      </c>
      <c r="K33" s="16">
        <f>'[4]2nd Subject'!$D93</f>
        <v>42</v>
      </c>
      <c r="L33" s="27">
        <f>K33+J33</f>
        <v>74</v>
      </c>
      <c r="M33" s="18" t="str">
        <f>IF(L33&lt;50,"F",IF(L33&lt;=54.99,"P",IF(L33&lt;=59.99,"C",IF(L33&lt;=64.99,"B",IF(L33&lt;=69.99,"B+",IF(L33&lt;=74.99,"A",IF(L33&lt;=79.99,"A+","O")))))))</f>
        <v>A</v>
      </c>
      <c r="N33" s="18" t="str">
        <f>IF(L33&lt;50,"0",IF(L33&lt;=54.99,"4",IF(L33&lt;=59.99,"5",IF(L33&lt;=64.99,"6",IF(L33&lt;=69.99,"7",IF(L33&lt;=74.99,"8",IF(L33&lt;=79.99,"9","10")))))))</f>
        <v>8</v>
      </c>
      <c r="O33" s="28">
        <v>4</v>
      </c>
      <c r="P33" s="29">
        <f>N33*O33</f>
        <v>32</v>
      </c>
      <c r="Q33" s="21">
        <f>'[5]3rd Subject'!$C93</f>
        <v>32</v>
      </c>
      <c r="R33" s="21">
        <f>'[5]3rd Subject'!$D93</f>
        <v>42</v>
      </c>
      <c r="S33" s="27">
        <f>R33+Q33</f>
        <v>74</v>
      </c>
      <c r="T33" s="18" t="str">
        <f>IF(S33&lt;50,"F",IF(S33&lt;=54.99,"P",IF(S33&lt;=59.99,"C",IF(S33&lt;=64.99,"B",IF(S33&lt;=69.99,"B+",IF(S33&lt;=74.99,"A",IF(S33&lt;=79.99,"A+","O")))))))</f>
        <v>A</v>
      </c>
      <c r="U33" s="18" t="str">
        <f>IF(S33&lt;50,"0",IF(S33&lt;=54.99,"4",IF(S33&lt;=59.99,"5",IF(S33&lt;=64.99,"6",IF(S33&lt;=69.99,"7",IF(S33&lt;=74.99,"8",IF(S33&lt;=79.99,"9","10")))))))</f>
        <v>8</v>
      </c>
      <c r="V33" s="28">
        <v>4</v>
      </c>
      <c r="W33" s="29">
        <f>U33*V33</f>
        <v>32</v>
      </c>
      <c r="X33" s="22">
        <f>'[6]4th Subject'!$C93</f>
        <v>32</v>
      </c>
      <c r="Y33" s="23">
        <f>'[6]4th Subject'!$D93</f>
        <v>42</v>
      </c>
      <c r="Z33" s="27">
        <f>Y33+X33</f>
        <v>74</v>
      </c>
      <c r="AA33" s="18" t="str">
        <f>IF(Z33&lt;50,"F",IF(Z33&lt;=54.99,"P",IF(Z33&lt;=59.99,"C",IF(Z33&lt;=64.99,"B",IF(Z33&lt;=69.99,"B+",IF(Z33&lt;=74.99,"A",IF(Z33&lt;=79.99,"A+","O")))))))</f>
        <v>A</v>
      </c>
      <c r="AB33" s="18" t="str">
        <f>IF(Z33&lt;50,"0",IF(Z33&lt;=54.99,"4",IF(Z33&lt;=59.99,"5",IF(Z33&lt;=64.99,"6",IF(Z33&lt;=69.99,"7",IF(Z33&lt;=74.99,"8",IF(Z33&lt;=79.99,"9","10")))))))</f>
        <v>8</v>
      </c>
      <c r="AC33" s="28">
        <v>4</v>
      </c>
      <c r="AD33" s="29">
        <f>AB33*AC33</f>
        <v>32</v>
      </c>
      <c r="AE33" s="22">
        <f>'[7]5th Subject'!$C93</f>
        <v>32</v>
      </c>
      <c r="AF33" s="23">
        <f>'[7]5th Subject'!$D93</f>
        <v>42</v>
      </c>
      <c r="AG33" s="27">
        <f>AF33+AE33</f>
        <v>74</v>
      </c>
      <c r="AH33" s="18" t="str">
        <f>IF(AG33&lt;50,"F",IF(AG33&lt;=54.99,"P",IF(AG33&lt;=59.99,"C",IF(AG33&lt;=64.99,"B",IF(AG33&lt;=69.99,"B+",IF(AG33&lt;=74.99,"A",IF(AG33&lt;=79.99,"A+","O")))))))</f>
        <v>A</v>
      </c>
      <c r="AI33" s="18" t="str">
        <f>IF(AG33&lt;50,"0",IF(AG33&lt;=54.99,"4",IF(AG33&lt;=59.99,"5",IF(AG33&lt;=64.99,"6",IF(AG33&lt;=69.99,"7",IF(AG33&lt;=74.99,"8",IF(AG33&lt;=79.99,"9","10")))))))</f>
        <v>8</v>
      </c>
      <c r="AJ33" s="28">
        <v>4</v>
      </c>
      <c r="AK33" s="29">
        <f>AI33*AJ33</f>
        <v>32</v>
      </c>
      <c r="AL33" s="22">
        <f>'[8]6th Subject'!$C93</f>
        <v>32</v>
      </c>
      <c r="AM33" s="22">
        <f>'[8]6th Subject'!$D93</f>
        <v>42</v>
      </c>
      <c r="AN33" s="27">
        <f>AM33+AL33</f>
        <v>74</v>
      </c>
      <c r="AO33" s="18" t="str">
        <f>IF(AN33&lt;50,"F",IF(AN33&lt;=54.99,"P",IF(AN33&lt;=59.99,"C",IF(AN33&lt;=64.99,"B",IF(AN33&lt;=69.99,"B+",IF(AN33&lt;=74.99,"A",IF(AN33&lt;=79.99,"A+","O")))))))</f>
        <v>A</v>
      </c>
      <c r="AP33" s="18" t="str">
        <f>IF(AN33&lt;50,"0",IF(AN33&lt;=54.99,"4",IF(AN33&lt;=59.99,"5",IF(AN33&lt;=64.99,"6",IF(AN33&lt;=69.99,"7",IF(AN33&lt;=74.99,"8",IF(AN33&lt;=79.99,"9","10")))))))</f>
        <v>8</v>
      </c>
      <c r="AQ33" s="28">
        <v>4</v>
      </c>
      <c r="AR33" s="29">
        <f>AP33*AQ33</f>
        <v>32</v>
      </c>
      <c r="AS33" s="16">
        <f>'[9]7th Subject'!$C93</f>
        <v>32</v>
      </c>
      <c r="AT33" s="16">
        <f>'[9]7th Subject'!$D93</f>
        <v>42</v>
      </c>
      <c r="AU33" s="27">
        <f>AT33+AS33</f>
        <v>74</v>
      </c>
      <c r="AV33" s="18" t="str">
        <f>IF(AU33&lt;50,"F",IF(AU33&lt;=54.99,"P",IF(AU33&lt;=59.99,"C",IF(AU33&lt;=64.99,"B",IF(AU33&lt;=69.99,"B+",IF(AU33&lt;=74.99,"A",IF(AU33&lt;=79.99,"A+","O")))))))</f>
        <v>A</v>
      </c>
      <c r="AW33" s="18" t="str">
        <f>IF(AU33&lt;50,"0",IF(AU33&lt;=54.99,"4",IF(AU33&lt;=59.99,"5",IF(AU33&lt;=64.99,"6",IF(AU33&lt;=69.99,"7",IF(AU33&lt;=74.99,"8",IF(AU33&lt;=79.99,"9","10")))))))</f>
        <v>8</v>
      </c>
      <c r="AX33" s="28">
        <v>4</v>
      </c>
      <c r="AY33" s="29">
        <f>AW33*AX33</f>
        <v>32</v>
      </c>
      <c r="AZ33" s="22">
        <f>'[10]8th Subject'!$C93</f>
        <v>32</v>
      </c>
      <c r="BA33" s="22">
        <f>'[10]8th Subject'!$D93</f>
        <v>42</v>
      </c>
      <c r="BB33" s="27">
        <f>BA33+AZ33</f>
        <v>74</v>
      </c>
      <c r="BC33" s="18" t="str">
        <f>IF(BB33&lt;50,"F",IF(BB33&lt;=54.99,"P",IF(BB33&lt;=59.99,"C",IF(BB33&lt;=64.99,"B",IF(BB33&lt;=69.99,"B+",IF(BB33&lt;=74.99,"A",IF(BB33&lt;=79.99,"A+","O")))))))</f>
        <v>A</v>
      </c>
      <c r="BD33" s="18" t="str">
        <f>IF(BB33&lt;50,"0",IF(BB33&lt;=54.99,"4",IF(BB33&lt;=59.99,"5",IF(BB33&lt;=64.99,"6",IF(BB33&lt;=69.99,"7",IF(BB33&lt;=74.99,"8",IF(BB33&lt;=79.99,"9","10")))))))</f>
        <v>8</v>
      </c>
      <c r="BE33" s="28">
        <v>4</v>
      </c>
      <c r="BF33" s="29">
        <f>BD33*BE33</f>
        <v>32</v>
      </c>
      <c r="BG33" s="27">
        <f>AZ33+AS33+AE33+X33+J33+C33+Q33+AL33</f>
        <v>256</v>
      </c>
      <c r="BH33" s="27">
        <f>BA33+AT33+AF33+Y33+K33+D33+R33+AM33</f>
        <v>336</v>
      </c>
      <c r="BI33" s="27">
        <f>BH33+BG33</f>
        <v>592</v>
      </c>
      <c r="BJ33" s="30">
        <f>G33+N33+U33+AB33+AI33+AP33+BD33+AW33</f>
        <v>64</v>
      </c>
      <c r="BK33" s="30">
        <f>I33+P33+W33+AD33+AK33+AY33+BF33+AR33</f>
        <v>256</v>
      </c>
      <c r="BL33" s="25">
        <f>(BN33-0.75)*10</f>
        <v>72.5</v>
      </c>
      <c r="BM33" s="17" t="str">
        <f>IF(OR(C33&lt;20,D33&lt;30,J33&lt;20,K33&lt;30,Q33&lt;20,R33&lt;30,X33&lt;20,Y33&lt;30,AE33&lt;20,AF33&lt;30,AL33&lt;20,AM33&lt;30,AS33&lt;20,AT33&lt;30,AZ33&lt;20,BA33&lt;30),"Unsuccessful","Successful")</f>
        <v>Successful</v>
      </c>
      <c r="BN33" s="31">
        <f>BK33/32</f>
        <v>8</v>
      </c>
      <c r="BO33" s="18" t="str">
        <f>IF(BN33&lt;=4,"F",IF(BN33&lt;=4.5,"P",IF(BN33&lt;=5.5,"C",IF(BN33&lt;=6.5,"B",IF(BN33&lt;=7.5,"B+",IF(BN33&lt;=8.5,"A",IF(BN33&lt;=9.5,"A+","O")))))))</f>
        <v>A</v>
      </c>
      <c r="BP33" s="14" t="str">
        <f>IF(BN33&lt;=4,"50",IF(BN33&lt;=4.5,"50-54.99",IF(BN33&lt;=5.5,"55-59.99",IF(BN33&lt;=6.5,"60-64.99",IF(BN33&lt;=7.5,"65-69.99",IF(BN33&lt;=8.5,"70-74.99",IF(BN33&lt;=9.5,"75-79.99","10")))))))</f>
        <v>70-74.99</v>
      </c>
      <c r="BS33">
        <f>RANK(BN33,$BN$3:$BN$135)</f>
        <v>24</v>
      </c>
    </row>
    <row r="34" spans="1:71" x14ac:dyDescent="0.25">
      <c r="A34" s="14" t="str">
        <f>[2]Sheet1!$A103</f>
        <v>MMS18-20/102</v>
      </c>
      <c r="B34" s="15" t="str">
        <f>[2]Sheet1!$B103</f>
        <v>SHRIGADI ROHIT DHARMENDRA RUPA</v>
      </c>
      <c r="C34" s="16">
        <f>'[3]1st Subject'!$C104</f>
        <v>32</v>
      </c>
      <c r="D34" s="16">
        <f>'[3]1st Subject'!$D104</f>
        <v>42</v>
      </c>
      <c r="E34" s="27">
        <f>D34+C34</f>
        <v>74</v>
      </c>
      <c r="F34" s="18" t="str">
        <f>IF(E34&lt;50,"F",IF(E34&lt;=54.99,"P",IF(E34&lt;=59.99,"C",IF(E34&lt;=64.99,"B",IF(E34&lt;=69.99,"B+",IF(E34&lt;=74.99,"A",IF(E34&lt;=79.99,"A+","O")))))))</f>
        <v>A</v>
      </c>
      <c r="G34" s="18" t="str">
        <f>IF(E34&lt;50,"0",IF(E34&lt;=54.99,"4",IF(E34&lt;=59.99,"5",IF(E34&lt;=64.99,"6",IF(E34&lt;=69.99,"7",IF(E34&lt;=74.99,"8",IF(E34&lt;=79.99,"9","10")))))))</f>
        <v>8</v>
      </c>
      <c r="H34" s="28">
        <v>4</v>
      </c>
      <c r="I34" s="29">
        <f>G34*H34</f>
        <v>32</v>
      </c>
      <c r="J34" s="16">
        <f>'[4]2nd Subject'!$C104</f>
        <v>32</v>
      </c>
      <c r="K34" s="16">
        <f>'[4]2nd Subject'!$D104</f>
        <v>42</v>
      </c>
      <c r="L34" s="27">
        <f>K34+J34</f>
        <v>74</v>
      </c>
      <c r="M34" s="18" t="str">
        <f>IF(L34&lt;50,"F",IF(L34&lt;=54.99,"P",IF(L34&lt;=59.99,"C",IF(L34&lt;=64.99,"B",IF(L34&lt;=69.99,"B+",IF(L34&lt;=74.99,"A",IF(L34&lt;=79.99,"A+","O")))))))</f>
        <v>A</v>
      </c>
      <c r="N34" s="18" t="str">
        <f>IF(L34&lt;50,"0",IF(L34&lt;=54.99,"4",IF(L34&lt;=59.99,"5",IF(L34&lt;=64.99,"6",IF(L34&lt;=69.99,"7",IF(L34&lt;=74.99,"8",IF(L34&lt;=79.99,"9","10")))))))</f>
        <v>8</v>
      </c>
      <c r="O34" s="28">
        <v>4</v>
      </c>
      <c r="P34" s="29">
        <f>N34*O34</f>
        <v>32</v>
      </c>
      <c r="Q34" s="21">
        <f>'[5]3rd Subject'!$C104</f>
        <v>32</v>
      </c>
      <c r="R34" s="21">
        <f>'[5]3rd Subject'!$D104</f>
        <v>42</v>
      </c>
      <c r="S34" s="27">
        <f>R34+Q34</f>
        <v>74</v>
      </c>
      <c r="T34" s="18" t="str">
        <f>IF(S34&lt;50,"F",IF(S34&lt;=54.99,"P",IF(S34&lt;=59.99,"C",IF(S34&lt;=64.99,"B",IF(S34&lt;=69.99,"B+",IF(S34&lt;=74.99,"A",IF(S34&lt;=79.99,"A+","O")))))))</f>
        <v>A</v>
      </c>
      <c r="U34" s="18" t="str">
        <f>IF(S34&lt;50,"0",IF(S34&lt;=54.99,"4",IF(S34&lt;=59.99,"5",IF(S34&lt;=64.99,"6",IF(S34&lt;=69.99,"7",IF(S34&lt;=74.99,"8",IF(S34&lt;=79.99,"9","10")))))))</f>
        <v>8</v>
      </c>
      <c r="V34" s="28">
        <v>4</v>
      </c>
      <c r="W34" s="29">
        <f>U34*V34</f>
        <v>32</v>
      </c>
      <c r="X34" s="22">
        <f>'[6]4th Subject'!$C104</f>
        <v>32</v>
      </c>
      <c r="Y34" s="23">
        <f>'[6]4th Subject'!$D104</f>
        <v>42</v>
      </c>
      <c r="Z34" s="27">
        <f>Y34+X34</f>
        <v>74</v>
      </c>
      <c r="AA34" s="18" t="str">
        <f>IF(Z34&lt;50,"F",IF(Z34&lt;=54.99,"P",IF(Z34&lt;=59.99,"C",IF(Z34&lt;=64.99,"B",IF(Z34&lt;=69.99,"B+",IF(Z34&lt;=74.99,"A",IF(Z34&lt;=79.99,"A+","O")))))))</f>
        <v>A</v>
      </c>
      <c r="AB34" s="18" t="str">
        <f>IF(Z34&lt;50,"0",IF(Z34&lt;=54.99,"4",IF(Z34&lt;=59.99,"5",IF(Z34&lt;=64.99,"6",IF(Z34&lt;=69.99,"7",IF(Z34&lt;=74.99,"8",IF(Z34&lt;=79.99,"9","10")))))))</f>
        <v>8</v>
      </c>
      <c r="AC34" s="28">
        <v>4</v>
      </c>
      <c r="AD34" s="29">
        <f>AB34*AC34</f>
        <v>32</v>
      </c>
      <c r="AE34" s="22">
        <f>'[7]5th Subject'!$C104</f>
        <v>32</v>
      </c>
      <c r="AF34" s="23">
        <f>'[7]5th Subject'!$D104</f>
        <v>42</v>
      </c>
      <c r="AG34" s="27">
        <f>AF34+AE34</f>
        <v>74</v>
      </c>
      <c r="AH34" s="18" t="str">
        <f>IF(AG34&lt;50,"F",IF(AG34&lt;=54.99,"P",IF(AG34&lt;=59.99,"C",IF(AG34&lt;=64.99,"B",IF(AG34&lt;=69.99,"B+",IF(AG34&lt;=74.99,"A",IF(AG34&lt;=79.99,"A+","O")))))))</f>
        <v>A</v>
      </c>
      <c r="AI34" s="18" t="str">
        <f>IF(AG34&lt;50,"0",IF(AG34&lt;=54.99,"4",IF(AG34&lt;=59.99,"5",IF(AG34&lt;=64.99,"6",IF(AG34&lt;=69.99,"7",IF(AG34&lt;=74.99,"8",IF(AG34&lt;=79.99,"9","10")))))))</f>
        <v>8</v>
      </c>
      <c r="AJ34" s="28">
        <v>4</v>
      </c>
      <c r="AK34" s="29">
        <f>AI34*AJ34</f>
        <v>32</v>
      </c>
      <c r="AL34" s="22">
        <f>'[8]6th Subject'!$C104</f>
        <v>32</v>
      </c>
      <c r="AM34" s="22">
        <f>'[8]6th Subject'!$D104</f>
        <v>42</v>
      </c>
      <c r="AN34" s="27">
        <f>AM34+AL34</f>
        <v>74</v>
      </c>
      <c r="AO34" s="18" t="str">
        <f>IF(AN34&lt;50,"F",IF(AN34&lt;=54.99,"P",IF(AN34&lt;=59.99,"C",IF(AN34&lt;=64.99,"B",IF(AN34&lt;=69.99,"B+",IF(AN34&lt;=74.99,"A",IF(AN34&lt;=79.99,"A+","O")))))))</f>
        <v>A</v>
      </c>
      <c r="AP34" s="18" t="str">
        <f>IF(AN34&lt;50,"0",IF(AN34&lt;=54.99,"4",IF(AN34&lt;=59.99,"5",IF(AN34&lt;=64.99,"6",IF(AN34&lt;=69.99,"7",IF(AN34&lt;=74.99,"8",IF(AN34&lt;=79.99,"9","10")))))))</f>
        <v>8</v>
      </c>
      <c r="AQ34" s="28">
        <v>4</v>
      </c>
      <c r="AR34" s="29">
        <f>AP34*AQ34</f>
        <v>32</v>
      </c>
      <c r="AS34" s="16">
        <f>'[9]7th Subject'!$C104</f>
        <v>32</v>
      </c>
      <c r="AT34" s="16">
        <f>'[9]7th Subject'!$D104</f>
        <v>42</v>
      </c>
      <c r="AU34" s="27">
        <f>AT34+AS34</f>
        <v>74</v>
      </c>
      <c r="AV34" s="18" t="str">
        <f>IF(AU34&lt;50,"F",IF(AU34&lt;=54.99,"P",IF(AU34&lt;=59.99,"C",IF(AU34&lt;=64.99,"B",IF(AU34&lt;=69.99,"B+",IF(AU34&lt;=74.99,"A",IF(AU34&lt;=79.99,"A+","O")))))))</f>
        <v>A</v>
      </c>
      <c r="AW34" s="18" t="str">
        <f>IF(AU34&lt;50,"0",IF(AU34&lt;=54.99,"4",IF(AU34&lt;=59.99,"5",IF(AU34&lt;=64.99,"6",IF(AU34&lt;=69.99,"7",IF(AU34&lt;=74.99,"8",IF(AU34&lt;=79.99,"9","10")))))))</f>
        <v>8</v>
      </c>
      <c r="AX34" s="28">
        <v>4</v>
      </c>
      <c r="AY34" s="29">
        <f>AW34*AX34</f>
        <v>32</v>
      </c>
      <c r="AZ34" s="22">
        <f>'[10]8th Subject'!$C104</f>
        <v>32</v>
      </c>
      <c r="BA34" s="22">
        <f>'[10]8th Subject'!$D104</f>
        <v>42</v>
      </c>
      <c r="BB34" s="27">
        <f>BA34+AZ34</f>
        <v>74</v>
      </c>
      <c r="BC34" s="18" t="str">
        <f>IF(BB34&lt;50,"F",IF(BB34&lt;=54.99,"P",IF(BB34&lt;=59.99,"C",IF(BB34&lt;=64.99,"B",IF(BB34&lt;=69.99,"B+",IF(BB34&lt;=74.99,"A",IF(BB34&lt;=79.99,"A+","O")))))))</f>
        <v>A</v>
      </c>
      <c r="BD34" s="18" t="str">
        <f>IF(BB34&lt;50,"0",IF(BB34&lt;=54.99,"4",IF(BB34&lt;=59.99,"5",IF(BB34&lt;=64.99,"6",IF(BB34&lt;=69.99,"7",IF(BB34&lt;=74.99,"8",IF(BB34&lt;=79.99,"9","10")))))))</f>
        <v>8</v>
      </c>
      <c r="BE34" s="28">
        <v>4</v>
      </c>
      <c r="BF34" s="29">
        <f>BD34*BE34</f>
        <v>32</v>
      </c>
      <c r="BG34" s="27">
        <f>AZ34+AS34+AE34+X34+J34+C34+Q34+AL34</f>
        <v>256</v>
      </c>
      <c r="BH34" s="27">
        <f>BA34+AT34+AF34+Y34+K34+D34+R34+AM34</f>
        <v>336</v>
      </c>
      <c r="BI34" s="27">
        <f>BH34+BG34</f>
        <v>592</v>
      </c>
      <c r="BJ34" s="30">
        <f>G34+N34+U34+AB34+AI34+AP34+BD34+AW34</f>
        <v>64</v>
      </c>
      <c r="BK34" s="30">
        <f>I34+P34+W34+AD34+AK34+AY34+BF34+AR34</f>
        <v>256</v>
      </c>
      <c r="BL34" s="25">
        <f>(BN34-0.75)*10</f>
        <v>72.5</v>
      </c>
      <c r="BM34" s="17" t="str">
        <f>IF(OR(C34&lt;20,D34&lt;30,J34&lt;20,K34&lt;30,Q34&lt;20,R34&lt;30,X34&lt;20,Y34&lt;30,AE34&lt;20,AF34&lt;30,AL34&lt;20,AM34&lt;30,AS34&lt;20,AT34&lt;30,AZ34&lt;20,BA34&lt;30),"Unsuccessful","Successful")</f>
        <v>Successful</v>
      </c>
      <c r="BN34" s="31">
        <f>BK34/32</f>
        <v>8</v>
      </c>
      <c r="BO34" s="18" t="str">
        <f>IF(BN34&lt;=4,"F",IF(BN34&lt;=4.5,"P",IF(BN34&lt;=5.5,"C",IF(BN34&lt;=6.5,"B",IF(BN34&lt;=7.5,"B+",IF(BN34&lt;=8.5,"A",IF(BN34&lt;=9.5,"A+","O")))))))</f>
        <v>A</v>
      </c>
      <c r="BP34" s="14" t="str">
        <f>IF(BN34&lt;=4,"50",IF(BN34&lt;=4.5,"50-54.99",IF(BN34&lt;=5.5,"55-59.99",IF(BN34&lt;=6.5,"60-64.99",IF(BN34&lt;=7.5,"65-69.99",IF(BN34&lt;=8.5,"70-74.99",IF(BN34&lt;=9.5,"75-79.99","10")))))))</f>
        <v>70-74.99</v>
      </c>
      <c r="BS34">
        <f>RANK(BN34,$BN$3:$BN$135)</f>
        <v>24</v>
      </c>
    </row>
    <row r="35" spans="1:71" x14ac:dyDescent="0.25">
      <c r="A35" s="14" t="str">
        <f>[2]Sheet1!$A114</f>
        <v>MMS18-20/113</v>
      </c>
      <c r="B35" s="15" t="str">
        <f>[2]Sheet1!$B114</f>
        <v>VHAVALE YOGESH VIJANAND ANITA</v>
      </c>
      <c r="C35" s="16">
        <f>'[3]1st Subject'!$C115</f>
        <v>32</v>
      </c>
      <c r="D35" s="16">
        <f>'[3]1st Subject'!$D115</f>
        <v>42</v>
      </c>
      <c r="E35" s="27">
        <f>D35+C35</f>
        <v>74</v>
      </c>
      <c r="F35" s="18" t="str">
        <f>IF(E35&lt;50,"F",IF(E35&lt;=54.99,"P",IF(E35&lt;=59.99,"C",IF(E35&lt;=64.99,"B",IF(E35&lt;=69.99,"B+",IF(E35&lt;=74.99,"A",IF(E35&lt;=79.99,"A+","O")))))))</f>
        <v>A</v>
      </c>
      <c r="G35" s="18" t="str">
        <f>IF(E35&lt;50,"0",IF(E35&lt;=54.99,"4",IF(E35&lt;=59.99,"5",IF(E35&lt;=64.99,"6",IF(E35&lt;=69.99,"7",IF(E35&lt;=74.99,"8",IF(E35&lt;=79.99,"9","10")))))))</f>
        <v>8</v>
      </c>
      <c r="H35" s="28">
        <v>4</v>
      </c>
      <c r="I35" s="29">
        <f>G35*H35</f>
        <v>32</v>
      </c>
      <c r="J35" s="16">
        <f>'[4]2nd Subject'!$C115</f>
        <v>32</v>
      </c>
      <c r="K35" s="16">
        <f>'[4]2nd Subject'!$D115</f>
        <v>42</v>
      </c>
      <c r="L35" s="27">
        <f>K35+J35</f>
        <v>74</v>
      </c>
      <c r="M35" s="18" t="str">
        <f>IF(L35&lt;50,"F",IF(L35&lt;=54.99,"P",IF(L35&lt;=59.99,"C",IF(L35&lt;=64.99,"B",IF(L35&lt;=69.99,"B+",IF(L35&lt;=74.99,"A",IF(L35&lt;=79.99,"A+","O")))))))</f>
        <v>A</v>
      </c>
      <c r="N35" s="18" t="str">
        <f>IF(L35&lt;50,"0",IF(L35&lt;=54.99,"4",IF(L35&lt;=59.99,"5",IF(L35&lt;=64.99,"6",IF(L35&lt;=69.99,"7",IF(L35&lt;=74.99,"8",IF(L35&lt;=79.99,"9","10")))))))</f>
        <v>8</v>
      </c>
      <c r="O35" s="28">
        <v>4</v>
      </c>
      <c r="P35" s="29">
        <f>N35*O35</f>
        <v>32</v>
      </c>
      <c r="Q35" s="21">
        <f>'[5]3rd Subject'!$C115</f>
        <v>32</v>
      </c>
      <c r="R35" s="21">
        <f>'[5]3rd Subject'!$D115</f>
        <v>42</v>
      </c>
      <c r="S35" s="27">
        <f>R35+Q35</f>
        <v>74</v>
      </c>
      <c r="T35" s="18" t="str">
        <f>IF(S35&lt;50,"F",IF(S35&lt;=54.99,"P",IF(S35&lt;=59.99,"C",IF(S35&lt;=64.99,"B",IF(S35&lt;=69.99,"B+",IF(S35&lt;=74.99,"A",IF(S35&lt;=79.99,"A+","O")))))))</f>
        <v>A</v>
      </c>
      <c r="U35" s="18" t="str">
        <f>IF(S35&lt;50,"0",IF(S35&lt;=54.99,"4",IF(S35&lt;=59.99,"5",IF(S35&lt;=64.99,"6",IF(S35&lt;=69.99,"7",IF(S35&lt;=74.99,"8",IF(S35&lt;=79.99,"9","10")))))))</f>
        <v>8</v>
      </c>
      <c r="V35" s="28">
        <v>4</v>
      </c>
      <c r="W35" s="29">
        <f>U35*V35</f>
        <v>32</v>
      </c>
      <c r="X35" s="22">
        <f>'[6]4th Subject'!$C115</f>
        <v>32</v>
      </c>
      <c r="Y35" s="23">
        <f>'[6]4th Subject'!$D115</f>
        <v>42</v>
      </c>
      <c r="Z35" s="27">
        <f>Y35+X35</f>
        <v>74</v>
      </c>
      <c r="AA35" s="18" t="str">
        <f>IF(Z35&lt;50,"F",IF(Z35&lt;=54.99,"P",IF(Z35&lt;=59.99,"C",IF(Z35&lt;=64.99,"B",IF(Z35&lt;=69.99,"B+",IF(Z35&lt;=74.99,"A",IF(Z35&lt;=79.99,"A+","O")))))))</f>
        <v>A</v>
      </c>
      <c r="AB35" s="18" t="str">
        <f>IF(Z35&lt;50,"0",IF(Z35&lt;=54.99,"4",IF(Z35&lt;=59.99,"5",IF(Z35&lt;=64.99,"6",IF(Z35&lt;=69.99,"7",IF(Z35&lt;=74.99,"8",IF(Z35&lt;=79.99,"9","10")))))))</f>
        <v>8</v>
      </c>
      <c r="AC35" s="28">
        <v>4</v>
      </c>
      <c r="AD35" s="29">
        <f>AB35*AC35</f>
        <v>32</v>
      </c>
      <c r="AE35" s="22">
        <f>'[7]5th Subject'!$C115</f>
        <v>32</v>
      </c>
      <c r="AF35" s="23">
        <f>'[7]5th Subject'!$D115</f>
        <v>42</v>
      </c>
      <c r="AG35" s="27">
        <f>AF35+AE35</f>
        <v>74</v>
      </c>
      <c r="AH35" s="18" t="str">
        <f>IF(AG35&lt;50,"F",IF(AG35&lt;=54.99,"P",IF(AG35&lt;=59.99,"C",IF(AG35&lt;=64.99,"B",IF(AG35&lt;=69.99,"B+",IF(AG35&lt;=74.99,"A",IF(AG35&lt;=79.99,"A+","O")))))))</f>
        <v>A</v>
      </c>
      <c r="AI35" s="18" t="str">
        <f>IF(AG35&lt;50,"0",IF(AG35&lt;=54.99,"4",IF(AG35&lt;=59.99,"5",IF(AG35&lt;=64.99,"6",IF(AG35&lt;=69.99,"7",IF(AG35&lt;=74.99,"8",IF(AG35&lt;=79.99,"9","10")))))))</f>
        <v>8</v>
      </c>
      <c r="AJ35" s="28">
        <v>4</v>
      </c>
      <c r="AK35" s="29">
        <f>AI35*AJ35</f>
        <v>32</v>
      </c>
      <c r="AL35" s="22">
        <f>'[8]6th Subject'!$C115</f>
        <v>32</v>
      </c>
      <c r="AM35" s="22">
        <f>'[8]6th Subject'!$D115</f>
        <v>42</v>
      </c>
      <c r="AN35" s="27">
        <f>AM35+AL35</f>
        <v>74</v>
      </c>
      <c r="AO35" s="18" t="str">
        <f>IF(AN35&lt;50,"F",IF(AN35&lt;=54.99,"P",IF(AN35&lt;=59.99,"C",IF(AN35&lt;=64.99,"B",IF(AN35&lt;=69.99,"B+",IF(AN35&lt;=74.99,"A",IF(AN35&lt;=79.99,"A+","O")))))))</f>
        <v>A</v>
      </c>
      <c r="AP35" s="18" t="str">
        <f>IF(AN35&lt;50,"0",IF(AN35&lt;=54.99,"4",IF(AN35&lt;=59.99,"5",IF(AN35&lt;=64.99,"6",IF(AN35&lt;=69.99,"7",IF(AN35&lt;=74.99,"8",IF(AN35&lt;=79.99,"9","10")))))))</f>
        <v>8</v>
      </c>
      <c r="AQ35" s="28">
        <v>4</v>
      </c>
      <c r="AR35" s="29">
        <f>AP35*AQ35</f>
        <v>32</v>
      </c>
      <c r="AS35" s="16">
        <f>'[9]7th Subject'!$C115</f>
        <v>32</v>
      </c>
      <c r="AT35" s="16">
        <f>'[9]7th Subject'!$D115</f>
        <v>42</v>
      </c>
      <c r="AU35" s="27">
        <f>AT35+AS35</f>
        <v>74</v>
      </c>
      <c r="AV35" s="18" t="str">
        <f>IF(AU35&lt;50,"F",IF(AU35&lt;=54.99,"P",IF(AU35&lt;=59.99,"C",IF(AU35&lt;=64.99,"B",IF(AU35&lt;=69.99,"B+",IF(AU35&lt;=74.99,"A",IF(AU35&lt;=79.99,"A+","O")))))))</f>
        <v>A</v>
      </c>
      <c r="AW35" s="18" t="str">
        <f>IF(AU35&lt;50,"0",IF(AU35&lt;=54.99,"4",IF(AU35&lt;=59.99,"5",IF(AU35&lt;=64.99,"6",IF(AU35&lt;=69.99,"7",IF(AU35&lt;=74.99,"8",IF(AU35&lt;=79.99,"9","10")))))))</f>
        <v>8</v>
      </c>
      <c r="AX35" s="28">
        <v>4</v>
      </c>
      <c r="AY35" s="29">
        <f>AW35*AX35</f>
        <v>32</v>
      </c>
      <c r="AZ35" s="22">
        <f>'[10]8th Subject'!$C115</f>
        <v>32</v>
      </c>
      <c r="BA35" s="22">
        <f>'[10]8th Subject'!$D115</f>
        <v>42</v>
      </c>
      <c r="BB35" s="27">
        <f>BA35+AZ35</f>
        <v>74</v>
      </c>
      <c r="BC35" s="18" t="str">
        <f>IF(BB35&lt;50,"F",IF(BB35&lt;=54.99,"P",IF(BB35&lt;=59.99,"C",IF(BB35&lt;=64.99,"B",IF(BB35&lt;=69.99,"B+",IF(BB35&lt;=74.99,"A",IF(BB35&lt;=79.99,"A+","O")))))))</f>
        <v>A</v>
      </c>
      <c r="BD35" s="18" t="str">
        <f>IF(BB35&lt;50,"0",IF(BB35&lt;=54.99,"4",IF(BB35&lt;=59.99,"5",IF(BB35&lt;=64.99,"6",IF(BB35&lt;=69.99,"7",IF(BB35&lt;=74.99,"8",IF(BB35&lt;=79.99,"9","10")))))))</f>
        <v>8</v>
      </c>
      <c r="BE35" s="28">
        <v>4</v>
      </c>
      <c r="BF35" s="29">
        <f>BD35*BE35</f>
        <v>32</v>
      </c>
      <c r="BG35" s="27">
        <f>AZ35+AS35+AE35+X35+J35+C35+Q35+AL35</f>
        <v>256</v>
      </c>
      <c r="BH35" s="27">
        <f>BA35+AT35+AF35+Y35+K35+D35+R35+AM35</f>
        <v>336</v>
      </c>
      <c r="BI35" s="27">
        <f>BH35+BG35</f>
        <v>592</v>
      </c>
      <c r="BJ35" s="30">
        <f>G35+N35+U35+AB35+AI35+AP35+BD35+AW35</f>
        <v>64</v>
      </c>
      <c r="BK35" s="30">
        <f>I35+P35+W35+AD35+AK35+AY35+BF35+AR35</f>
        <v>256</v>
      </c>
      <c r="BL35" s="25">
        <f>(BN35-0.75)*10</f>
        <v>72.5</v>
      </c>
      <c r="BM35" s="17" t="str">
        <f>IF(OR(C35&lt;20,D35&lt;30,J35&lt;20,K35&lt;30,Q35&lt;20,R35&lt;30,X35&lt;20,Y35&lt;30,AE35&lt;20,AF35&lt;30,AL35&lt;20,AM35&lt;30,AS35&lt;20,AT35&lt;30,AZ35&lt;20,BA35&lt;30),"Unsuccessful","Successful")</f>
        <v>Successful</v>
      </c>
      <c r="BN35" s="31">
        <f>BK35/32</f>
        <v>8</v>
      </c>
      <c r="BO35" s="18" t="str">
        <f>IF(BN35&lt;=4,"F",IF(BN35&lt;=4.5,"P",IF(BN35&lt;=5.5,"C",IF(BN35&lt;=6.5,"B",IF(BN35&lt;=7.5,"B+",IF(BN35&lt;=8.5,"A",IF(BN35&lt;=9.5,"A+","O")))))))</f>
        <v>A</v>
      </c>
      <c r="BP35" s="14" t="str">
        <f>IF(BN35&lt;=4,"50",IF(BN35&lt;=4.5,"50-54.99",IF(BN35&lt;=5.5,"55-59.99",IF(BN35&lt;=6.5,"60-64.99",IF(BN35&lt;=7.5,"65-69.99",IF(BN35&lt;=8.5,"70-74.99",IF(BN35&lt;=9.5,"75-79.99","10")))))))</f>
        <v>70-74.99</v>
      </c>
      <c r="BS35">
        <f>RANK(BN35,$BN$3:$BN$135)</f>
        <v>24</v>
      </c>
    </row>
    <row r="36" spans="1:71" x14ac:dyDescent="0.25">
      <c r="A36" s="14" t="str">
        <f>[2]Sheet1!$A7</f>
        <v>MMS18-20/006</v>
      </c>
      <c r="B36" s="15" t="str">
        <f>[2]Sheet1!$B7</f>
        <v>BAGUL PRANAV PRAMOD MEENA</v>
      </c>
      <c r="C36" s="16">
        <f>'[3]1st Subject'!$C8</f>
        <v>32</v>
      </c>
      <c r="D36" s="16">
        <f>'[3]1st Subject'!$D8</f>
        <v>39</v>
      </c>
      <c r="E36" s="27">
        <f>D36+C36</f>
        <v>71</v>
      </c>
      <c r="F36" s="18" t="str">
        <f>IF(E36&lt;50,"F",IF(E36&lt;=54.99,"P",IF(E36&lt;=59.99,"C",IF(E36&lt;=64.99,"B",IF(E36&lt;=69.99,"B+",IF(E36&lt;=74.99,"A",IF(E36&lt;=79.99,"A+","O")))))))</f>
        <v>A</v>
      </c>
      <c r="G36" s="18" t="str">
        <f>IF(E36&lt;50,"0",IF(E36&lt;=54.99,"4",IF(E36&lt;=59.99,"5",IF(E36&lt;=64.99,"6",IF(E36&lt;=69.99,"7",IF(E36&lt;=74.99,"8",IF(E36&lt;=79.99,"9","10")))))))</f>
        <v>8</v>
      </c>
      <c r="H36" s="28">
        <v>4</v>
      </c>
      <c r="I36" s="29">
        <f>G36*H36</f>
        <v>32</v>
      </c>
      <c r="J36" s="16">
        <f>'[4]2nd Subject'!$C8</f>
        <v>32</v>
      </c>
      <c r="K36" s="16">
        <f>'[4]2nd Subject'!$D8</f>
        <v>39</v>
      </c>
      <c r="L36" s="27">
        <f>K36+J36</f>
        <v>71</v>
      </c>
      <c r="M36" s="18" t="str">
        <f>IF(L36&lt;50,"F",IF(L36&lt;=54.99,"P",IF(L36&lt;=59.99,"C",IF(L36&lt;=64.99,"B",IF(L36&lt;=69.99,"B+",IF(L36&lt;=74.99,"A",IF(L36&lt;=79.99,"A+","O")))))))</f>
        <v>A</v>
      </c>
      <c r="N36" s="18" t="str">
        <f>IF(L36&lt;50,"0",IF(L36&lt;=54.99,"4",IF(L36&lt;=59.99,"5",IF(L36&lt;=64.99,"6",IF(L36&lt;=69.99,"7",IF(L36&lt;=74.99,"8",IF(L36&lt;=79.99,"9","10")))))))</f>
        <v>8</v>
      </c>
      <c r="O36" s="28">
        <v>4</v>
      </c>
      <c r="P36" s="29">
        <f>N36*O36</f>
        <v>32</v>
      </c>
      <c r="Q36" s="21">
        <f>'[5]3rd Subject'!$C8</f>
        <v>32</v>
      </c>
      <c r="R36" s="21">
        <f>'[5]3rd Subject'!$D8</f>
        <v>39</v>
      </c>
      <c r="S36" s="27">
        <f>R36+Q36</f>
        <v>71</v>
      </c>
      <c r="T36" s="18" t="str">
        <f>IF(S36&lt;50,"F",IF(S36&lt;=54.99,"P",IF(S36&lt;=59.99,"C",IF(S36&lt;=64.99,"B",IF(S36&lt;=69.99,"B+",IF(S36&lt;=74.99,"A",IF(S36&lt;=79.99,"A+","O")))))))</f>
        <v>A</v>
      </c>
      <c r="U36" s="18" t="str">
        <f>IF(S36&lt;50,"0",IF(S36&lt;=54.99,"4",IF(S36&lt;=59.99,"5",IF(S36&lt;=64.99,"6",IF(S36&lt;=69.99,"7",IF(S36&lt;=74.99,"8",IF(S36&lt;=79.99,"9","10")))))))</f>
        <v>8</v>
      </c>
      <c r="V36" s="28">
        <v>4</v>
      </c>
      <c r="W36" s="29">
        <f>U36*V36</f>
        <v>32</v>
      </c>
      <c r="X36" s="22">
        <f>'[6]4th Subject'!$C8</f>
        <v>32</v>
      </c>
      <c r="Y36" s="23">
        <f>'[6]4th Subject'!$D8</f>
        <v>39</v>
      </c>
      <c r="Z36" s="27">
        <f>Y36+X36</f>
        <v>71</v>
      </c>
      <c r="AA36" s="18" t="str">
        <f>IF(Z36&lt;50,"F",IF(Z36&lt;=54.99,"P",IF(Z36&lt;=59.99,"C",IF(Z36&lt;=64.99,"B",IF(Z36&lt;=69.99,"B+",IF(Z36&lt;=74.99,"A",IF(Z36&lt;=79.99,"A+","O")))))))</f>
        <v>A</v>
      </c>
      <c r="AB36" s="18" t="str">
        <f>IF(Z36&lt;50,"0",IF(Z36&lt;=54.99,"4",IF(Z36&lt;=59.99,"5",IF(Z36&lt;=64.99,"6",IF(Z36&lt;=69.99,"7",IF(Z36&lt;=74.99,"8",IF(Z36&lt;=79.99,"9","10")))))))</f>
        <v>8</v>
      </c>
      <c r="AC36" s="28">
        <v>4</v>
      </c>
      <c r="AD36" s="29">
        <f>AB36*AC36</f>
        <v>32</v>
      </c>
      <c r="AE36" s="22">
        <f>'[7]5th Subject'!$C8</f>
        <v>32</v>
      </c>
      <c r="AF36" s="23">
        <f>'[7]5th Subject'!$D8</f>
        <v>39</v>
      </c>
      <c r="AG36" s="27">
        <f>AF36+AE36</f>
        <v>71</v>
      </c>
      <c r="AH36" s="18" t="str">
        <f>IF(AG36&lt;50,"F",IF(AG36&lt;=54.99,"P",IF(AG36&lt;=59.99,"C",IF(AG36&lt;=64.99,"B",IF(AG36&lt;=69.99,"B+",IF(AG36&lt;=74.99,"A",IF(AG36&lt;=79.99,"A+","O")))))))</f>
        <v>A</v>
      </c>
      <c r="AI36" s="18" t="str">
        <f>IF(AG36&lt;50,"0",IF(AG36&lt;=54.99,"4",IF(AG36&lt;=59.99,"5",IF(AG36&lt;=64.99,"6",IF(AG36&lt;=69.99,"7",IF(AG36&lt;=74.99,"8",IF(AG36&lt;=79.99,"9","10")))))))</f>
        <v>8</v>
      </c>
      <c r="AJ36" s="28">
        <v>4</v>
      </c>
      <c r="AK36" s="29">
        <f>AI36*AJ36</f>
        <v>32</v>
      </c>
      <c r="AL36" s="22">
        <f>'[8]6th Subject'!$C8</f>
        <v>32</v>
      </c>
      <c r="AM36" s="22">
        <f>'[8]6th Subject'!$D8</f>
        <v>39</v>
      </c>
      <c r="AN36" s="27">
        <f>AM36+AL36</f>
        <v>71</v>
      </c>
      <c r="AO36" s="18" t="str">
        <f>IF(AN36&lt;50,"F",IF(AN36&lt;=54.99,"P",IF(AN36&lt;=59.99,"C",IF(AN36&lt;=64.99,"B",IF(AN36&lt;=69.99,"B+",IF(AN36&lt;=74.99,"A",IF(AN36&lt;=79.99,"A+","O")))))))</f>
        <v>A</v>
      </c>
      <c r="AP36" s="18" t="str">
        <f>IF(AN36&lt;50,"0",IF(AN36&lt;=54.99,"4",IF(AN36&lt;=59.99,"5",IF(AN36&lt;=64.99,"6",IF(AN36&lt;=69.99,"7",IF(AN36&lt;=74.99,"8",IF(AN36&lt;=79.99,"9","10")))))))</f>
        <v>8</v>
      </c>
      <c r="AQ36" s="28">
        <v>4</v>
      </c>
      <c r="AR36" s="29">
        <f>AP36*AQ36</f>
        <v>32</v>
      </c>
      <c r="AS36" s="16">
        <f>'[9]7th Subject'!$C8</f>
        <v>32</v>
      </c>
      <c r="AT36" s="16">
        <f>'[9]7th Subject'!$D8</f>
        <v>39</v>
      </c>
      <c r="AU36" s="27">
        <f>AT36+AS36</f>
        <v>71</v>
      </c>
      <c r="AV36" s="18" t="str">
        <f>IF(AU36&lt;50,"F",IF(AU36&lt;=54.99,"P",IF(AU36&lt;=59.99,"C",IF(AU36&lt;=64.99,"B",IF(AU36&lt;=69.99,"B+",IF(AU36&lt;=74.99,"A",IF(AU36&lt;=79.99,"A+","O")))))))</f>
        <v>A</v>
      </c>
      <c r="AW36" s="18" t="str">
        <f>IF(AU36&lt;50,"0",IF(AU36&lt;=54.99,"4",IF(AU36&lt;=59.99,"5",IF(AU36&lt;=64.99,"6",IF(AU36&lt;=69.99,"7",IF(AU36&lt;=74.99,"8",IF(AU36&lt;=79.99,"9","10")))))))</f>
        <v>8</v>
      </c>
      <c r="AX36" s="28">
        <v>4</v>
      </c>
      <c r="AY36" s="29">
        <f>AW36*AX36</f>
        <v>32</v>
      </c>
      <c r="AZ36" s="22">
        <f>'[10]8th Subject'!$C8</f>
        <v>32</v>
      </c>
      <c r="BA36" s="22">
        <f>'[10]8th Subject'!$D8</f>
        <v>39</v>
      </c>
      <c r="BB36" s="27">
        <f>BA36+AZ36</f>
        <v>71</v>
      </c>
      <c r="BC36" s="18" t="str">
        <f>IF(BB36&lt;50,"F",IF(BB36&lt;=54.99,"P",IF(BB36&lt;=59.99,"C",IF(BB36&lt;=64.99,"B",IF(BB36&lt;=69.99,"B+",IF(BB36&lt;=74.99,"A",IF(BB36&lt;=79.99,"A+","O")))))))</f>
        <v>A</v>
      </c>
      <c r="BD36" s="18" t="str">
        <f>IF(BB36&lt;50,"0",IF(BB36&lt;=54.99,"4",IF(BB36&lt;=59.99,"5",IF(BB36&lt;=64.99,"6",IF(BB36&lt;=69.99,"7",IF(BB36&lt;=74.99,"8",IF(BB36&lt;=79.99,"9","10")))))))</f>
        <v>8</v>
      </c>
      <c r="BE36" s="28">
        <v>4</v>
      </c>
      <c r="BF36" s="29">
        <f>BD36*BE36</f>
        <v>32</v>
      </c>
      <c r="BG36" s="27">
        <f>AZ36+AS36+AE36+X36+J36+C36+Q36+AL36</f>
        <v>256</v>
      </c>
      <c r="BH36" s="27">
        <f>BA36+AT36+AF36+Y36+K36+D36+R36+AM36</f>
        <v>312</v>
      </c>
      <c r="BI36" s="27">
        <f>BH36+BG36</f>
        <v>568</v>
      </c>
      <c r="BJ36" s="30">
        <f>G36+N36+U36+AB36+AI36+AP36+BD36+AW36</f>
        <v>64</v>
      </c>
      <c r="BK36" s="30">
        <f>I36+P36+W36+AD36+AK36+AY36+BF36+AR36</f>
        <v>256</v>
      </c>
      <c r="BL36" s="25">
        <f>(BN36-0.75)*10</f>
        <v>72.5</v>
      </c>
      <c r="BM36" s="17" t="str">
        <f>IF(OR(C36&lt;20,D36&lt;30,J36&lt;20,K36&lt;30,Q36&lt;20,R36&lt;30,X36&lt;20,Y36&lt;30,AE36&lt;20,AF36&lt;30,AL36&lt;20,AM36&lt;30,AS36&lt;20,AT36&lt;30,AZ36&lt;20,BA36&lt;30),"Unsuccessful","Successful")</f>
        <v>Successful</v>
      </c>
      <c r="BN36" s="31">
        <f>BK36/32</f>
        <v>8</v>
      </c>
      <c r="BO36" s="18" t="str">
        <f>IF(BN36&lt;=4,"F",IF(BN36&lt;=4.5,"P",IF(BN36&lt;=5.5,"C",IF(BN36&lt;=6.5,"B",IF(BN36&lt;=7.5,"B+",IF(BN36&lt;=8.5,"A",IF(BN36&lt;=9.5,"A+","O")))))))</f>
        <v>A</v>
      </c>
      <c r="BP36" s="14" t="str">
        <f>IF(BN36&lt;=4,"50",IF(BN36&lt;=4.5,"50-54.99",IF(BN36&lt;=5.5,"55-59.99",IF(BN36&lt;=6.5,"60-64.99",IF(BN36&lt;=7.5,"65-69.99",IF(BN36&lt;=8.5,"70-74.99",IF(BN36&lt;=9.5,"75-79.99","10")))))))</f>
        <v>70-74.99</v>
      </c>
      <c r="BS36">
        <f>RANK(BN36,$BN$3:$BN$135)</f>
        <v>24</v>
      </c>
    </row>
    <row r="37" spans="1:71" x14ac:dyDescent="0.25">
      <c r="A37" s="14" t="str">
        <f>[2]Sheet1!$A8</f>
        <v>MMS18-20/007</v>
      </c>
      <c r="B37" s="15" t="str">
        <f>[2]Sheet1!$B8</f>
        <v>/BAMANE RENUKA UTTAM SUNITA</v>
      </c>
      <c r="C37" s="16">
        <f>'[3]1st Subject'!$C9</f>
        <v>30</v>
      </c>
      <c r="D37" s="16">
        <f>'[3]1st Subject'!$D9</f>
        <v>41</v>
      </c>
      <c r="E37" s="27">
        <f>D37+C37</f>
        <v>71</v>
      </c>
      <c r="F37" s="18" t="str">
        <f>IF(E37&lt;50,"F",IF(E37&lt;=54.99,"P",IF(E37&lt;=59.99,"C",IF(E37&lt;=64.99,"B",IF(E37&lt;=69.99,"B+",IF(E37&lt;=74.99,"A",IF(E37&lt;=79.99,"A+","O")))))))</f>
        <v>A</v>
      </c>
      <c r="G37" s="18" t="str">
        <f>IF(E37&lt;50,"0",IF(E37&lt;=54.99,"4",IF(E37&lt;=59.99,"5",IF(E37&lt;=64.99,"6",IF(E37&lt;=69.99,"7",IF(E37&lt;=74.99,"8",IF(E37&lt;=79.99,"9","10")))))))</f>
        <v>8</v>
      </c>
      <c r="H37" s="28">
        <v>4</v>
      </c>
      <c r="I37" s="29">
        <f>G37*H37</f>
        <v>32</v>
      </c>
      <c r="J37" s="16">
        <f>'[4]2nd Subject'!$C9</f>
        <v>30</v>
      </c>
      <c r="K37" s="16">
        <f>'[4]2nd Subject'!$D9</f>
        <v>41</v>
      </c>
      <c r="L37" s="27">
        <f>K37+J37</f>
        <v>71</v>
      </c>
      <c r="M37" s="18" t="str">
        <f>IF(L37&lt;50,"F",IF(L37&lt;=54.99,"P",IF(L37&lt;=59.99,"C",IF(L37&lt;=64.99,"B",IF(L37&lt;=69.99,"B+",IF(L37&lt;=74.99,"A",IF(L37&lt;=79.99,"A+","O")))))))</f>
        <v>A</v>
      </c>
      <c r="N37" s="18" t="str">
        <f>IF(L37&lt;50,"0",IF(L37&lt;=54.99,"4",IF(L37&lt;=59.99,"5",IF(L37&lt;=64.99,"6",IF(L37&lt;=69.99,"7",IF(L37&lt;=74.99,"8",IF(L37&lt;=79.99,"9","10")))))))</f>
        <v>8</v>
      </c>
      <c r="O37" s="28">
        <v>4</v>
      </c>
      <c r="P37" s="29">
        <f>N37*O37</f>
        <v>32</v>
      </c>
      <c r="Q37" s="21">
        <f>'[5]3rd Subject'!$C9</f>
        <v>30</v>
      </c>
      <c r="R37" s="21">
        <f>'[5]3rd Subject'!$D9</f>
        <v>41</v>
      </c>
      <c r="S37" s="27">
        <f>R37+Q37</f>
        <v>71</v>
      </c>
      <c r="T37" s="18" t="str">
        <f>IF(S37&lt;50,"F",IF(S37&lt;=54.99,"P",IF(S37&lt;=59.99,"C",IF(S37&lt;=64.99,"B",IF(S37&lt;=69.99,"B+",IF(S37&lt;=74.99,"A",IF(S37&lt;=79.99,"A+","O")))))))</f>
        <v>A</v>
      </c>
      <c r="U37" s="18" t="str">
        <f>IF(S37&lt;50,"0",IF(S37&lt;=54.99,"4",IF(S37&lt;=59.99,"5",IF(S37&lt;=64.99,"6",IF(S37&lt;=69.99,"7",IF(S37&lt;=74.99,"8",IF(S37&lt;=79.99,"9","10")))))))</f>
        <v>8</v>
      </c>
      <c r="V37" s="28">
        <v>4</v>
      </c>
      <c r="W37" s="29">
        <f>U37*V37</f>
        <v>32</v>
      </c>
      <c r="X37" s="22">
        <f>'[6]4th Subject'!$C9</f>
        <v>30</v>
      </c>
      <c r="Y37" s="23">
        <f>'[6]4th Subject'!$D9</f>
        <v>41</v>
      </c>
      <c r="Z37" s="27">
        <f>Y37+X37</f>
        <v>71</v>
      </c>
      <c r="AA37" s="18" t="str">
        <f>IF(Z37&lt;50,"F",IF(Z37&lt;=54.99,"P",IF(Z37&lt;=59.99,"C",IF(Z37&lt;=64.99,"B",IF(Z37&lt;=69.99,"B+",IF(Z37&lt;=74.99,"A",IF(Z37&lt;=79.99,"A+","O")))))))</f>
        <v>A</v>
      </c>
      <c r="AB37" s="18" t="str">
        <f>IF(Z37&lt;50,"0",IF(Z37&lt;=54.99,"4",IF(Z37&lt;=59.99,"5",IF(Z37&lt;=64.99,"6",IF(Z37&lt;=69.99,"7",IF(Z37&lt;=74.99,"8",IF(Z37&lt;=79.99,"9","10")))))))</f>
        <v>8</v>
      </c>
      <c r="AC37" s="28">
        <v>4</v>
      </c>
      <c r="AD37" s="29">
        <f>AB37*AC37</f>
        <v>32</v>
      </c>
      <c r="AE37" s="22">
        <f>'[7]5th Subject'!$C9</f>
        <v>30</v>
      </c>
      <c r="AF37" s="23">
        <f>'[7]5th Subject'!$D9</f>
        <v>41</v>
      </c>
      <c r="AG37" s="27">
        <f>AF37+AE37</f>
        <v>71</v>
      </c>
      <c r="AH37" s="18" t="str">
        <f>IF(AG37&lt;50,"F",IF(AG37&lt;=54.99,"P",IF(AG37&lt;=59.99,"C",IF(AG37&lt;=64.99,"B",IF(AG37&lt;=69.99,"B+",IF(AG37&lt;=74.99,"A",IF(AG37&lt;=79.99,"A+","O")))))))</f>
        <v>A</v>
      </c>
      <c r="AI37" s="18" t="str">
        <f>IF(AG37&lt;50,"0",IF(AG37&lt;=54.99,"4",IF(AG37&lt;=59.99,"5",IF(AG37&lt;=64.99,"6",IF(AG37&lt;=69.99,"7",IF(AG37&lt;=74.99,"8",IF(AG37&lt;=79.99,"9","10")))))))</f>
        <v>8</v>
      </c>
      <c r="AJ37" s="28">
        <v>4</v>
      </c>
      <c r="AK37" s="29">
        <f>AI37*AJ37</f>
        <v>32</v>
      </c>
      <c r="AL37" s="22">
        <f>'[8]6th Subject'!$C9</f>
        <v>30</v>
      </c>
      <c r="AM37" s="22">
        <f>'[8]6th Subject'!$D9</f>
        <v>41</v>
      </c>
      <c r="AN37" s="27">
        <f>AM37+AL37</f>
        <v>71</v>
      </c>
      <c r="AO37" s="18" t="str">
        <f>IF(AN37&lt;50,"F",IF(AN37&lt;=54.99,"P",IF(AN37&lt;=59.99,"C",IF(AN37&lt;=64.99,"B",IF(AN37&lt;=69.99,"B+",IF(AN37&lt;=74.99,"A",IF(AN37&lt;=79.99,"A+","O")))))))</f>
        <v>A</v>
      </c>
      <c r="AP37" s="18" t="str">
        <f>IF(AN37&lt;50,"0",IF(AN37&lt;=54.99,"4",IF(AN37&lt;=59.99,"5",IF(AN37&lt;=64.99,"6",IF(AN37&lt;=69.99,"7",IF(AN37&lt;=74.99,"8",IF(AN37&lt;=79.99,"9","10")))))))</f>
        <v>8</v>
      </c>
      <c r="AQ37" s="28">
        <v>4</v>
      </c>
      <c r="AR37" s="29">
        <f>AP37*AQ37</f>
        <v>32</v>
      </c>
      <c r="AS37" s="16">
        <f>'[9]7th Subject'!$C9</f>
        <v>30</v>
      </c>
      <c r="AT37" s="16">
        <f>'[9]7th Subject'!$D9</f>
        <v>41</v>
      </c>
      <c r="AU37" s="27">
        <f>AT37+AS37</f>
        <v>71</v>
      </c>
      <c r="AV37" s="18" t="str">
        <f>IF(AU37&lt;50,"F",IF(AU37&lt;=54.99,"P",IF(AU37&lt;=59.99,"C",IF(AU37&lt;=64.99,"B",IF(AU37&lt;=69.99,"B+",IF(AU37&lt;=74.99,"A",IF(AU37&lt;=79.99,"A+","O")))))))</f>
        <v>A</v>
      </c>
      <c r="AW37" s="18" t="str">
        <f>IF(AU37&lt;50,"0",IF(AU37&lt;=54.99,"4",IF(AU37&lt;=59.99,"5",IF(AU37&lt;=64.99,"6",IF(AU37&lt;=69.99,"7",IF(AU37&lt;=74.99,"8",IF(AU37&lt;=79.99,"9","10")))))))</f>
        <v>8</v>
      </c>
      <c r="AX37" s="28">
        <v>4</v>
      </c>
      <c r="AY37" s="29">
        <f>AW37*AX37</f>
        <v>32</v>
      </c>
      <c r="AZ37" s="22">
        <f>'[10]8th Subject'!$C9</f>
        <v>30</v>
      </c>
      <c r="BA37" s="22">
        <f>'[10]8th Subject'!$D9</f>
        <v>41</v>
      </c>
      <c r="BB37" s="27">
        <f>BA37+AZ37</f>
        <v>71</v>
      </c>
      <c r="BC37" s="18" t="str">
        <f>IF(BB37&lt;50,"F",IF(BB37&lt;=54.99,"P",IF(BB37&lt;=59.99,"C",IF(BB37&lt;=64.99,"B",IF(BB37&lt;=69.99,"B+",IF(BB37&lt;=74.99,"A",IF(BB37&lt;=79.99,"A+","O")))))))</f>
        <v>A</v>
      </c>
      <c r="BD37" s="18" t="str">
        <f>IF(BB37&lt;50,"0",IF(BB37&lt;=54.99,"4",IF(BB37&lt;=59.99,"5",IF(BB37&lt;=64.99,"6",IF(BB37&lt;=69.99,"7",IF(BB37&lt;=74.99,"8",IF(BB37&lt;=79.99,"9","10")))))))</f>
        <v>8</v>
      </c>
      <c r="BE37" s="28">
        <v>4</v>
      </c>
      <c r="BF37" s="29">
        <f>BD37*BE37</f>
        <v>32</v>
      </c>
      <c r="BG37" s="27">
        <f>AZ37+AS37+AE37+X37+J37+C37+Q37+AL37</f>
        <v>240</v>
      </c>
      <c r="BH37" s="27">
        <f>BA37+AT37+AF37+Y37+K37+D37+R37+AM37</f>
        <v>328</v>
      </c>
      <c r="BI37" s="27">
        <f>BH37+BG37</f>
        <v>568</v>
      </c>
      <c r="BJ37" s="30">
        <f>G37+N37+U37+AB37+AI37+AP37+BD37+AW37</f>
        <v>64</v>
      </c>
      <c r="BK37" s="30">
        <f>I37+P37+W37+AD37+AK37+AY37+BF37+AR37</f>
        <v>256</v>
      </c>
      <c r="BL37" s="25">
        <f>(BN37-0.75)*10</f>
        <v>72.5</v>
      </c>
      <c r="BM37" s="17" t="str">
        <f>IF(OR(C37&lt;20,D37&lt;30,J37&lt;20,K37&lt;30,Q37&lt;20,R37&lt;30,X37&lt;20,Y37&lt;30,AE37&lt;20,AF37&lt;30,AL37&lt;20,AM37&lt;30,AS37&lt;20,AT37&lt;30,AZ37&lt;20,BA37&lt;30),"Unsuccessful","Successful")</f>
        <v>Successful</v>
      </c>
      <c r="BN37" s="31">
        <f>BK37/32</f>
        <v>8</v>
      </c>
      <c r="BO37" s="18" t="str">
        <f>IF(BN37&lt;=4,"F",IF(BN37&lt;=4.5,"P",IF(BN37&lt;=5.5,"C",IF(BN37&lt;=6.5,"B",IF(BN37&lt;=7.5,"B+",IF(BN37&lt;=8.5,"A",IF(BN37&lt;=9.5,"A+","O")))))))</f>
        <v>A</v>
      </c>
      <c r="BP37" s="14" t="str">
        <f>IF(BN37&lt;=4,"50",IF(BN37&lt;=4.5,"50-54.99",IF(BN37&lt;=5.5,"55-59.99",IF(BN37&lt;=6.5,"60-64.99",IF(BN37&lt;=7.5,"65-69.99",IF(BN37&lt;=8.5,"70-74.99",IF(BN37&lt;=9.5,"75-79.99","10")))))))</f>
        <v>70-74.99</v>
      </c>
      <c r="BS37">
        <f>RANK(BN37,$BN$3:$BN$135)</f>
        <v>24</v>
      </c>
    </row>
    <row r="38" spans="1:71" x14ac:dyDescent="0.25">
      <c r="A38" s="14" t="str">
        <f>[2]Sheet1!$A18</f>
        <v>MMS18-20/017</v>
      </c>
      <c r="B38" s="15" t="str">
        <f>[2]Sheet1!$B18</f>
        <v>/CHANDORKAR PRAJAL MADHUKAR VANITA</v>
      </c>
      <c r="C38" s="16">
        <f>'[3]1st Subject'!$C19</f>
        <v>32</v>
      </c>
      <c r="D38" s="16">
        <f>'[3]1st Subject'!$D19</f>
        <v>39</v>
      </c>
      <c r="E38" s="27">
        <f>D38+C38</f>
        <v>71</v>
      </c>
      <c r="F38" s="18" t="str">
        <f>IF(E38&lt;50,"F",IF(E38&lt;=54.99,"P",IF(E38&lt;=59.99,"C",IF(E38&lt;=64.99,"B",IF(E38&lt;=69.99,"B+",IF(E38&lt;=74.99,"A",IF(E38&lt;=79.99,"A+","O")))))))</f>
        <v>A</v>
      </c>
      <c r="G38" s="18" t="str">
        <f>IF(E38&lt;50,"0",IF(E38&lt;=54.99,"4",IF(E38&lt;=59.99,"5",IF(E38&lt;=64.99,"6",IF(E38&lt;=69.99,"7",IF(E38&lt;=74.99,"8",IF(E38&lt;=79.99,"9","10")))))))</f>
        <v>8</v>
      </c>
      <c r="H38" s="28">
        <v>4</v>
      </c>
      <c r="I38" s="29">
        <f>G38*H38</f>
        <v>32</v>
      </c>
      <c r="J38" s="16">
        <f>'[4]2nd Subject'!$C19</f>
        <v>32</v>
      </c>
      <c r="K38" s="16">
        <f>'[4]2nd Subject'!$D19</f>
        <v>39</v>
      </c>
      <c r="L38" s="27">
        <f>K38+J38</f>
        <v>71</v>
      </c>
      <c r="M38" s="18" t="str">
        <f>IF(L38&lt;50,"F",IF(L38&lt;=54.99,"P",IF(L38&lt;=59.99,"C",IF(L38&lt;=64.99,"B",IF(L38&lt;=69.99,"B+",IF(L38&lt;=74.99,"A",IF(L38&lt;=79.99,"A+","O")))))))</f>
        <v>A</v>
      </c>
      <c r="N38" s="18" t="str">
        <f>IF(L38&lt;50,"0",IF(L38&lt;=54.99,"4",IF(L38&lt;=59.99,"5",IF(L38&lt;=64.99,"6",IF(L38&lt;=69.99,"7",IF(L38&lt;=74.99,"8",IF(L38&lt;=79.99,"9","10")))))))</f>
        <v>8</v>
      </c>
      <c r="O38" s="28">
        <v>4</v>
      </c>
      <c r="P38" s="29">
        <f>N38*O38</f>
        <v>32</v>
      </c>
      <c r="Q38" s="21">
        <f>'[5]3rd Subject'!$C19</f>
        <v>32</v>
      </c>
      <c r="R38" s="21">
        <f>'[5]3rd Subject'!$D19</f>
        <v>39</v>
      </c>
      <c r="S38" s="27">
        <f>R38+Q38</f>
        <v>71</v>
      </c>
      <c r="T38" s="18" t="str">
        <f>IF(S38&lt;50,"F",IF(S38&lt;=54.99,"P",IF(S38&lt;=59.99,"C",IF(S38&lt;=64.99,"B",IF(S38&lt;=69.99,"B+",IF(S38&lt;=74.99,"A",IF(S38&lt;=79.99,"A+","O")))))))</f>
        <v>A</v>
      </c>
      <c r="U38" s="18" t="str">
        <f>IF(S38&lt;50,"0",IF(S38&lt;=54.99,"4",IF(S38&lt;=59.99,"5",IF(S38&lt;=64.99,"6",IF(S38&lt;=69.99,"7",IF(S38&lt;=74.99,"8",IF(S38&lt;=79.99,"9","10")))))))</f>
        <v>8</v>
      </c>
      <c r="V38" s="28">
        <v>4</v>
      </c>
      <c r="W38" s="29">
        <f>U38*V38</f>
        <v>32</v>
      </c>
      <c r="X38" s="22">
        <f>'[6]4th Subject'!$C19</f>
        <v>32</v>
      </c>
      <c r="Y38" s="23">
        <f>'[6]4th Subject'!$D19</f>
        <v>39</v>
      </c>
      <c r="Z38" s="27">
        <f>Y38+X38</f>
        <v>71</v>
      </c>
      <c r="AA38" s="18" t="str">
        <f>IF(Z38&lt;50,"F",IF(Z38&lt;=54.99,"P",IF(Z38&lt;=59.99,"C",IF(Z38&lt;=64.99,"B",IF(Z38&lt;=69.99,"B+",IF(Z38&lt;=74.99,"A",IF(Z38&lt;=79.99,"A+","O")))))))</f>
        <v>A</v>
      </c>
      <c r="AB38" s="18" t="str">
        <f>IF(Z38&lt;50,"0",IF(Z38&lt;=54.99,"4",IF(Z38&lt;=59.99,"5",IF(Z38&lt;=64.99,"6",IF(Z38&lt;=69.99,"7",IF(Z38&lt;=74.99,"8",IF(Z38&lt;=79.99,"9","10")))))))</f>
        <v>8</v>
      </c>
      <c r="AC38" s="28">
        <v>4</v>
      </c>
      <c r="AD38" s="29">
        <f>AB38*AC38</f>
        <v>32</v>
      </c>
      <c r="AE38" s="22">
        <f>'[7]5th Subject'!$C19</f>
        <v>32</v>
      </c>
      <c r="AF38" s="23">
        <f>'[7]5th Subject'!$D19</f>
        <v>39</v>
      </c>
      <c r="AG38" s="27">
        <f>AF38+AE38</f>
        <v>71</v>
      </c>
      <c r="AH38" s="18" t="str">
        <f>IF(AG38&lt;50,"F",IF(AG38&lt;=54.99,"P",IF(AG38&lt;=59.99,"C",IF(AG38&lt;=64.99,"B",IF(AG38&lt;=69.99,"B+",IF(AG38&lt;=74.99,"A",IF(AG38&lt;=79.99,"A+","O")))))))</f>
        <v>A</v>
      </c>
      <c r="AI38" s="18" t="str">
        <f>IF(AG38&lt;50,"0",IF(AG38&lt;=54.99,"4",IF(AG38&lt;=59.99,"5",IF(AG38&lt;=64.99,"6",IF(AG38&lt;=69.99,"7",IF(AG38&lt;=74.99,"8",IF(AG38&lt;=79.99,"9","10")))))))</f>
        <v>8</v>
      </c>
      <c r="AJ38" s="28">
        <v>4</v>
      </c>
      <c r="AK38" s="29">
        <f>AI38*AJ38</f>
        <v>32</v>
      </c>
      <c r="AL38" s="22">
        <f>'[8]6th Subject'!$C19</f>
        <v>32</v>
      </c>
      <c r="AM38" s="22">
        <f>'[8]6th Subject'!$D19</f>
        <v>39</v>
      </c>
      <c r="AN38" s="27">
        <f>AM38+AL38</f>
        <v>71</v>
      </c>
      <c r="AO38" s="18" t="str">
        <f>IF(AN38&lt;50,"F",IF(AN38&lt;=54.99,"P",IF(AN38&lt;=59.99,"C",IF(AN38&lt;=64.99,"B",IF(AN38&lt;=69.99,"B+",IF(AN38&lt;=74.99,"A",IF(AN38&lt;=79.99,"A+","O")))))))</f>
        <v>A</v>
      </c>
      <c r="AP38" s="18" t="str">
        <f>IF(AN38&lt;50,"0",IF(AN38&lt;=54.99,"4",IF(AN38&lt;=59.99,"5",IF(AN38&lt;=64.99,"6",IF(AN38&lt;=69.99,"7",IF(AN38&lt;=74.99,"8",IF(AN38&lt;=79.99,"9","10")))))))</f>
        <v>8</v>
      </c>
      <c r="AQ38" s="28">
        <v>4</v>
      </c>
      <c r="AR38" s="29">
        <f>AP38*AQ38</f>
        <v>32</v>
      </c>
      <c r="AS38" s="16">
        <f>'[9]7th Subject'!$C19</f>
        <v>32</v>
      </c>
      <c r="AT38" s="16">
        <f>'[9]7th Subject'!$D19</f>
        <v>39</v>
      </c>
      <c r="AU38" s="27">
        <f>AT38+AS38</f>
        <v>71</v>
      </c>
      <c r="AV38" s="18" t="str">
        <f>IF(AU38&lt;50,"F",IF(AU38&lt;=54.99,"P",IF(AU38&lt;=59.99,"C",IF(AU38&lt;=64.99,"B",IF(AU38&lt;=69.99,"B+",IF(AU38&lt;=74.99,"A",IF(AU38&lt;=79.99,"A+","O")))))))</f>
        <v>A</v>
      </c>
      <c r="AW38" s="18" t="str">
        <f>IF(AU38&lt;50,"0",IF(AU38&lt;=54.99,"4",IF(AU38&lt;=59.99,"5",IF(AU38&lt;=64.99,"6",IF(AU38&lt;=69.99,"7",IF(AU38&lt;=74.99,"8",IF(AU38&lt;=79.99,"9","10")))))))</f>
        <v>8</v>
      </c>
      <c r="AX38" s="28">
        <v>4</v>
      </c>
      <c r="AY38" s="29">
        <f>AW38*AX38</f>
        <v>32</v>
      </c>
      <c r="AZ38" s="22">
        <f>'[10]8th Subject'!$C19</f>
        <v>32</v>
      </c>
      <c r="BA38" s="22">
        <f>'[10]8th Subject'!$D19</f>
        <v>39</v>
      </c>
      <c r="BB38" s="27">
        <f>BA38+AZ38</f>
        <v>71</v>
      </c>
      <c r="BC38" s="18" t="str">
        <f>IF(BB38&lt;50,"F",IF(BB38&lt;=54.99,"P",IF(BB38&lt;=59.99,"C",IF(BB38&lt;=64.99,"B",IF(BB38&lt;=69.99,"B+",IF(BB38&lt;=74.99,"A",IF(BB38&lt;=79.99,"A+","O")))))))</f>
        <v>A</v>
      </c>
      <c r="BD38" s="18" t="str">
        <f>IF(BB38&lt;50,"0",IF(BB38&lt;=54.99,"4",IF(BB38&lt;=59.99,"5",IF(BB38&lt;=64.99,"6",IF(BB38&lt;=69.99,"7",IF(BB38&lt;=74.99,"8",IF(BB38&lt;=79.99,"9","10")))))))</f>
        <v>8</v>
      </c>
      <c r="BE38" s="28">
        <v>4</v>
      </c>
      <c r="BF38" s="29">
        <f>BD38*BE38</f>
        <v>32</v>
      </c>
      <c r="BG38" s="27">
        <f>AZ38+AS38+AE38+X38+J38+C38+Q38+AL38</f>
        <v>256</v>
      </c>
      <c r="BH38" s="27">
        <f>BA38+AT38+AF38+Y38+K38+D38+R38+AM38</f>
        <v>312</v>
      </c>
      <c r="BI38" s="27">
        <f>BH38+BG38</f>
        <v>568</v>
      </c>
      <c r="BJ38" s="30">
        <f>G38+N38+U38+AB38+AI38+AP38+BD38+AW38</f>
        <v>64</v>
      </c>
      <c r="BK38" s="30">
        <f>I38+P38+W38+AD38+AK38+AY38+BF38+AR38</f>
        <v>256</v>
      </c>
      <c r="BL38" s="25">
        <f>(BN38-0.75)*10</f>
        <v>72.5</v>
      </c>
      <c r="BM38" s="17" t="str">
        <f>IF(OR(C38&lt;20,D38&lt;30,J38&lt;20,K38&lt;30,Q38&lt;20,R38&lt;30,X38&lt;20,Y38&lt;30,AE38&lt;20,AF38&lt;30,AL38&lt;20,AM38&lt;30,AS38&lt;20,AT38&lt;30,AZ38&lt;20,BA38&lt;30),"Unsuccessful","Successful")</f>
        <v>Successful</v>
      </c>
      <c r="BN38" s="31">
        <f>BK38/32</f>
        <v>8</v>
      </c>
      <c r="BO38" s="18" t="str">
        <f>IF(BN38&lt;=4,"F",IF(BN38&lt;=4.5,"P",IF(BN38&lt;=5.5,"C",IF(BN38&lt;=6.5,"B",IF(BN38&lt;=7.5,"B+",IF(BN38&lt;=8.5,"A",IF(BN38&lt;=9.5,"A+","O")))))))</f>
        <v>A</v>
      </c>
      <c r="BP38" s="14" t="str">
        <f>IF(BN38&lt;=4,"50",IF(BN38&lt;=4.5,"50-54.99",IF(BN38&lt;=5.5,"55-59.99",IF(BN38&lt;=6.5,"60-64.99",IF(BN38&lt;=7.5,"65-69.99",IF(BN38&lt;=8.5,"70-74.99",IF(BN38&lt;=9.5,"75-79.99","10")))))))</f>
        <v>70-74.99</v>
      </c>
      <c r="BS38">
        <f>RANK(BN38,$BN$3:$BN$135)</f>
        <v>24</v>
      </c>
    </row>
    <row r="39" spans="1:71" x14ac:dyDescent="0.25">
      <c r="A39" s="14" t="str">
        <f>[2]Sheet1!$A19</f>
        <v>MMS18-20/018</v>
      </c>
      <c r="B39" s="15" t="str">
        <f>[2]Sheet1!$B19</f>
        <v>CHAUDHARI TRUPAL JEEVAN SMITA</v>
      </c>
      <c r="C39" s="16">
        <f>'[3]1st Subject'!$C20</f>
        <v>30</v>
      </c>
      <c r="D39" s="16">
        <f>'[3]1st Subject'!$D20</f>
        <v>41</v>
      </c>
      <c r="E39" s="27">
        <f>D39+C39</f>
        <v>71</v>
      </c>
      <c r="F39" s="18" t="str">
        <f>IF(E39&lt;50,"F",IF(E39&lt;=54.99,"P",IF(E39&lt;=59.99,"C",IF(E39&lt;=64.99,"B",IF(E39&lt;=69.99,"B+",IF(E39&lt;=74.99,"A",IF(E39&lt;=79.99,"A+","O")))))))</f>
        <v>A</v>
      </c>
      <c r="G39" s="18" t="str">
        <f>IF(E39&lt;50,"0",IF(E39&lt;=54.99,"4",IF(E39&lt;=59.99,"5",IF(E39&lt;=64.99,"6",IF(E39&lt;=69.99,"7",IF(E39&lt;=74.99,"8",IF(E39&lt;=79.99,"9","10")))))))</f>
        <v>8</v>
      </c>
      <c r="H39" s="28">
        <v>4</v>
      </c>
      <c r="I39" s="29">
        <f>G39*H39</f>
        <v>32</v>
      </c>
      <c r="J39" s="16">
        <f>'[4]2nd Subject'!$C20</f>
        <v>30</v>
      </c>
      <c r="K39" s="16">
        <f>'[4]2nd Subject'!$D20</f>
        <v>41</v>
      </c>
      <c r="L39" s="27">
        <f>K39+J39</f>
        <v>71</v>
      </c>
      <c r="M39" s="18" t="str">
        <f>IF(L39&lt;50,"F",IF(L39&lt;=54.99,"P",IF(L39&lt;=59.99,"C",IF(L39&lt;=64.99,"B",IF(L39&lt;=69.99,"B+",IF(L39&lt;=74.99,"A",IF(L39&lt;=79.99,"A+","O")))))))</f>
        <v>A</v>
      </c>
      <c r="N39" s="18" t="str">
        <f>IF(L39&lt;50,"0",IF(L39&lt;=54.99,"4",IF(L39&lt;=59.99,"5",IF(L39&lt;=64.99,"6",IF(L39&lt;=69.99,"7",IF(L39&lt;=74.99,"8",IF(L39&lt;=79.99,"9","10")))))))</f>
        <v>8</v>
      </c>
      <c r="O39" s="28">
        <v>4</v>
      </c>
      <c r="P39" s="29">
        <f>N39*O39</f>
        <v>32</v>
      </c>
      <c r="Q39" s="21">
        <f>'[5]3rd Subject'!$C20</f>
        <v>30</v>
      </c>
      <c r="R39" s="21">
        <f>'[5]3rd Subject'!$D20</f>
        <v>41</v>
      </c>
      <c r="S39" s="27">
        <f>R39+Q39</f>
        <v>71</v>
      </c>
      <c r="T39" s="18" t="str">
        <f>IF(S39&lt;50,"F",IF(S39&lt;=54.99,"P",IF(S39&lt;=59.99,"C",IF(S39&lt;=64.99,"B",IF(S39&lt;=69.99,"B+",IF(S39&lt;=74.99,"A",IF(S39&lt;=79.99,"A+","O")))))))</f>
        <v>A</v>
      </c>
      <c r="U39" s="18" t="str">
        <f>IF(S39&lt;50,"0",IF(S39&lt;=54.99,"4",IF(S39&lt;=59.99,"5",IF(S39&lt;=64.99,"6",IF(S39&lt;=69.99,"7",IF(S39&lt;=74.99,"8",IF(S39&lt;=79.99,"9","10")))))))</f>
        <v>8</v>
      </c>
      <c r="V39" s="28">
        <v>4</v>
      </c>
      <c r="W39" s="29">
        <f>U39*V39</f>
        <v>32</v>
      </c>
      <c r="X39" s="22">
        <f>'[6]4th Subject'!$C20</f>
        <v>30</v>
      </c>
      <c r="Y39" s="23">
        <f>'[6]4th Subject'!$D20</f>
        <v>41</v>
      </c>
      <c r="Z39" s="27">
        <f>Y39+X39</f>
        <v>71</v>
      </c>
      <c r="AA39" s="18" t="str">
        <f>IF(Z39&lt;50,"F",IF(Z39&lt;=54.99,"P",IF(Z39&lt;=59.99,"C",IF(Z39&lt;=64.99,"B",IF(Z39&lt;=69.99,"B+",IF(Z39&lt;=74.99,"A",IF(Z39&lt;=79.99,"A+","O")))))))</f>
        <v>A</v>
      </c>
      <c r="AB39" s="18" t="str">
        <f>IF(Z39&lt;50,"0",IF(Z39&lt;=54.99,"4",IF(Z39&lt;=59.99,"5",IF(Z39&lt;=64.99,"6",IF(Z39&lt;=69.99,"7",IF(Z39&lt;=74.99,"8",IF(Z39&lt;=79.99,"9","10")))))))</f>
        <v>8</v>
      </c>
      <c r="AC39" s="28">
        <v>4</v>
      </c>
      <c r="AD39" s="29">
        <f>AB39*AC39</f>
        <v>32</v>
      </c>
      <c r="AE39" s="22">
        <f>'[7]5th Subject'!$C20</f>
        <v>30</v>
      </c>
      <c r="AF39" s="23">
        <f>'[7]5th Subject'!$D20</f>
        <v>41</v>
      </c>
      <c r="AG39" s="27">
        <f>AF39+AE39</f>
        <v>71</v>
      </c>
      <c r="AH39" s="18" t="str">
        <f>IF(AG39&lt;50,"F",IF(AG39&lt;=54.99,"P",IF(AG39&lt;=59.99,"C",IF(AG39&lt;=64.99,"B",IF(AG39&lt;=69.99,"B+",IF(AG39&lt;=74.99,"A",IF(AG39&lt;=79.99,"A+","O")))))))</f>
        <v>A</v>
      </c>
      <c r="AI39" s="18" t="str">
        <f>IF(AG39&lt;50,"0",IF(AG39&lt;=54.99,"4",IF(AG39&lt;=59.99,"5",IF(AG39&lt;=64.99,"6",IF(AG39&lt;=69.99,"7",IF(AG39&lt;=74.99,"8",IF(AG39&lt;=79.99,"9","10")))))))</f>
        <v>8</v>
      </c>
      <c r="AJ39" s="28">
        <v>4</v>
      </c>
      <c r="AK39" s="29">
        <f>AI39*AJ39</f>
        <v>32</v>
      </c>
      <c r="AL39" s="22">
        <f>'[8]6th Subject'!$C20</f>
        <v>30</v>
      </c>
      <c r="AM39" s="22">
        <f>'[8]6th Subject'!$D20</f>
        <v>41</v>
      </c>
      <c r="AN39" s="27">
        <f>AM39+AL39</f>
        <v>71</v>
      </c>
      <c r="AO39" s="18" t="str">
        <f>IF(AN39&lt;50,"F",IF(AN39&lt;=54.99,"P",IF(AN39&lt;=59.99,"C",IF(AN39&lt;=64.99,"B",IF(AN39&lt;=69.99,"B+",IF(AN39&lt;=74.99,"A",IF(AN39&lt;=79.99,"A+","O")))))))</f>
        <v>A</v>
      </c>
      <c r="AP39" s="18" t="str">
        <f>IF(AN39&lt;50,"0",IF(AN39&lt;=54.99,"4",IF(AN39&lt;=59.99,"5",IF(AN39&lt;=64.99,"6",IF(AN39&lt;=69.99,"7",IF(AN39&lt;=74.99,"8",IF(AN39&lt;=79.99,"9","10")))))))</f>
        <v>8</v>
      </c>
      <c r="AQ39" s="28">
        <v>4</v>
      </c>
      <c r="AR39" s="29">
        <f>AP39*AQ39</f>
        <v>32</v>
      </c>
      <c r="AS39" s="16">
        <f>'[9]7th Subject'!$C20</f>
        <v>30</v>
      </c>
      <c r="AT39" s="16">
        <f>'[9]7th Subject'!$D20</f>
        <v>41</v>
      </c>
      <c r="AU39" s="27">
        <f>AT39+AS39</f>
        <v>71</v>
      </c>
      <c r="AV39" s="18" t="str">
        <f>IF(AU39&lt;50,"F",IF(AU39&lt;=54.99,"P",IF(AU39&lt;=59.99,"C",IF(AU39&lt;=64.99,"B",IF(AU39&lt;=69.99,"B+",IF(AU39&lt;=74.99,"A",IF(AU39&lt;=79.99,"A+","O")))))))</f>
        <v>A</v>
      </c>
      <c r="AW39" s="18" t="str">
        <f>IF(AU39&lt;50,"0",IF(AU39&lt;=54.99,"4",IF(AU39&lt;=59.99,"5",IF(AU39&lt;=64.99,"6",IF(AU39&lt;=69.99,"7",IF(AU39&lt;=74.99,"8",IF(AU39&lt;=79.99,"9","10")))))))</f>
        <v>8</v>
      </c>
      <c r="AX39" s="28">
        <v>4</v>
      </c>
      <c r="AY39" s="29">
        <f>AW39*AX39</f>
        <v>32</v>
      </c>
      <c r="AZ39" s="22">
        <f>'[10]8th Subject'!$C20</f>
        <v>30</v>
      </c>
      <c r="BA39" s="22">
        <f>'[10]8th Subject'!$D20</f>
        <v>41</v>
      </c>
      <c r="BB39" s="27">
        <f>BA39+AZ39</f>
        <v>71</v>
      </c>
      <c r="BC39" s="18" t="str">
        <f>IF(BB39&lt;50,"F",IF(BB39&lt;=54.99,"P",IF(BB39&lt;=59.99,"C",IF(BB39&lt;=64.99,"B",IF(BB39&lt;=69.99,"B+",IF(BB39&lt;=74.99,"A",IF(BB39&lt;=79.99,"A+","O")))))))</f>
        <v>A</v>
      </c>
      <c r="BD39" s="18" t="str">
        <f>IF(BB39&lt;50,"0",IF(BB39&lt;=54.99,"4",IF(BB39&lt;=59.99,"5",IF(BB39&lt;=64.99,"6",IF(BB39&lt;=69.99,"7",IF(BB39&lt;=74.99,"8",IF(BB39&lt;=79.99,"9","10")))))))</f>
        <v>8</v>
      </c>
      <c r="BE39" s="28">
        <v>4</v>
      </c>
      <c r="BF39" s="29">
        <f>BD39*BE39</f>
        <v>32</v>
      </c>
      <c r="BG39" s="27">
        <f>AZ39+AS39+AE39+X39+J39+C39+Q39+AL39</f>
        <v>240</v>
      </c>
      <c r="BH39" s="27">
        <f>BA39+AT39+AF39+Y39+K39+D39+R39+AM39</f>
        <v>328</v>
      </c>
      <c r="BI39" s="27">
        <f>BH39+BG39</f>
        <v>568</v>
      </c>
      <c r="BJ39" s="30">
        <f>G39+N39+U39+AB39+AI39+AP39+BD39+AW39</f>
        <v>64</v>
      </c>
      <c r="BK39" s="30">
        <f>I39+P39+W39+AD39+AK39+AY39+BF39+AR39</f>
        <v>256</v>
      </c>
      <c r="BL39" s="25">
        <f>(BN39-0.75)*10</f>
        <v>72.5</v>
      </c>
      <c r="BM39" s="17" t="str">
        <f>IF(OR(C39&lt;20,D39&lt;30,J39&lt;20,K39&lt;30,Q39&lt;20,R39&lt;30,X39&lt;20,Y39&lt;30,AE39&lt;20,AF39&lt;30,AL39&lt;20,AM39&lt;30,AS39&lt;20,AT39&lt;30,AZ39&lt;20,BA39&lt;30),"Unsuccessful","Successful")</f>
        <v>Successful</v>
      </c>
      <c r="BN39" s="31">
        <f>BK39/32</f>
        <v>8</v>
      </c>
      <c r="BO39" s="18" t="str">
        <f>IF(BN39&lt;=4,"F",IF(BN39&lt;=4.5,"P",IF(BN39&lt;=5.5,"C",IF(BN39&lt;=6.5,"B",IF(BN39&lt;=7.5,"B+",IF(BN39&lt;=8.5,"A",IF(BN39&lt;=9.5,"A+","O")))))))</f>
        <v>A</v>
      </c>
      <c r="BP39" s="14" t="str">
        <f>IF(BN39&lt;=4,"50",IF(BN39&lt;=4.5,"50-54.99",IF(BN39&lt;=5.5,"55-59.99",IF(BN39&lt;=6.5,"60-64.99",IF(BN39&lt;=7.5,"65-69.99",IF(BN39&lt;=8.5,"70-74.99",IF(BN39&lt;=9.5,"75-79.99","10")))))))</f>
        <v>70-74.99</v>
      </c>
      <c r="BS39">
        <f>RANK(BN39,$BN$3:$BN$135)</f>
        <v>24</v>
      </c>
    </row>
    <row r="40" spans="1:71" x14ac:dyDescent="0.25">
      <c r="A40" s="14" t="str">
        <f>[2]Sheet1!$A29</f>
        <v>MMS18-20/028</v>
      </c>
      <c r="B40" s="15" t="str">
        <f>[2]Sheet1!$B29</f>
        <v>GAMBHIRRAO MANISH HARISHCHANDRA RANJANA</v>
      </c>
      <c r="C40" s="16">
        <f>'[3]1st Subject'!$C30</f>
        <v>32</v>
      </c>
      <c r="D40" s="16">
        <f>'[3]1st Subject'!$D30</f>
        <v>39</v>
      </c>
      <c r="E40" s="27">
        <f>D40+C40</f>
        <v>71</v>
      </c>
      <c r="F40" s="18" t="str">
        <f>IF(E40&lt;50,"F",IF(E40&lt;=54.99,"P",IF(E40&lt;=59.99,"C",IF(E40&lt;=64.99,"B",IF(E40&lt;=69.99,"B+",IF(E40&lt;=74.99,"A",IF(E40&lt;=79.99,"A+","O")))))))</f>
        <v>A</v>
      </c>
      <c r="G40" s="18" t="str">
        <f>IF(E40&lt;50,"0",IF(E40&lt;=54.99,"4",IF(E40&lt;=59.99,"5",IF(E40&lt;=64.99,"6",IF(E40&lt;=69.99,"7",IF(E40&lt;=74.99,"8",IF(E40&lt;=79.99,"9","10")))))))</f>
        <v>8</v>
      </c>
      <c r="H40" s="28">
        <v>4</v>
      </c>
      <c r="I40" s="29">
        <f>G40*H40</f>
        <v>32</v>
      </c>
      <c r="J40" s="16">
        <f>'[4]2nd Subject'!$C30</f>
        <v>32</v>
      </c>
      <c r="K40" s="16">
        <f>'[4]2nd Subject'!$D30</f>
        <v>39</v>
      </c>
      <c r="L40" s="27">
        <f>K40+J40</f>
        <v>71</v>
      </c>
      <c r="M40" s="18" t="str">
        <f>IF(L40&lt;50,"F",IF(L40&lt;=54.99,"P",IF(L40&lt;=59.99,"C",IF(L40&lt;=64.99,"B",IF(L40&lt;=69.99,"B+",IF(L40&lt;=74.99,"A",IF(L40&lt;=79.99,"A+","O")))))))</f>
        <v>A</v>
      </c>
      <c r="N40" s="18" t="str">
        <f>IF(L40&lt;50,"0",IF(L40&lt;=54.99,"4",IF(L40&lt;=59.99,"5",IF(L40&lt;=64.99,"6",IF(L40&lt;=69.99,"7",IF(L40&lt;=74.99,"8",IF(L40&lt;=79.99,"9","10")))))))</f>
        <v>8</v>
      </c>
      <c r="O40" s="28">
        <v>4</v>
      </c>
      <c r="P40" s="29">
        <f>N40*O40</f>
        <v>32</v>
      </c>
      <c r="Q40" s="21">
        <f>'[5]3rd Subject'!$C30</f>
        <v>32</v>
      </c>
      <c r="R40" s="21">
        <f>'[5]3rd Subject'!$D30</f>
        <v>39</v>
      </c>
      <c r="S40" s="27">
        <f>R40+Q40</f>
        <v>71</v>
      </c>
      <c r="T40" s="18" t="str">
        <f>IF(S40&lt;50,"F",IF(S40&lt;=54.99,"P",IF(S40&lt;=59.99,"C",IF(S40&lt;=64.99,"B",IF(S40&lt;=69.99,"B+",IF(S40&lt;=74.99,"A",IF(S40&lt;=79.99,"A+","O")))))))</f>
        <v>A</v>
      </c>
      <c r="U40" s="18" t="str">
        <f>IF(S40&lt;50,"0",IF(S40&lt;=54.99,"4",IF(S40&lt;=59.99,"5",IF(S40&lt;=64.99,"6",IF(S40&lt;=69.99,"7",IF(S40&lt;=74.99,"8",IF(S40&lt;=79.99,"9","10")))))))</f>
        <v>8</v>
      </c>
      <c r="V40" s="28">
        <v>4</v>
      </c>
      <c r="W40" s="29">
        <f>U40*V40</f>
        <v>32</v>
      </c>
      <c r="X40" s="22">
        <f>'[6]4th Subject'!$C30</f>
        <v>32</v>
      </c>
      <c r="Y40" s="23">
        <f>'[6]4th Subject'!$D30</f>
        <v>39</v>
      </c>
      <c r="Z40" s="27">
        <f>Y40+X40</f>
        <v>71</v>
      </c>
      <c r="AA40" s="18" t="str">
        <f>IF(Z40&lt;50,"F",IF(Z40&lt;=54.99,"P",IF(Z40&lt;=59.99,"C",IF(Z40&lt;=64.99,"B",IF(Z40&lt;=69.99,"B+",IF(Z40&lt;=74.99,"A",IF(Z40&lt;=79.99,"A+","O")))))))</f>
        <v>A</v>
      </c>
      <c r="AB40" s="18" t="str">
        <f>IF(Z40&lt;50,"0",IF(Z40&lt;=54.99,"4",IF(Z40&lt;=59.99,"5",IF(Z40&lt;=64.99,"6",IF(Z40&lt;=69.99,"7",IF(Z40&lt;=74.99,"8",IF(Z40&lt;=79.99,"9","10")))))))</f>
        <v>8</v>
      </c>
      <c r="AC40" s="28">
        <v>4</v>
      </c>
      <c r="AD40" s="29">
        <f>AB40*AC40</f>
        <v>32</v>
      </c>
      <c r="AE40" s="22">
        <f>'[7]5th Subject'!$C30</f>
        <v>32</v>
      </c>
      <c r="AF40" s="23">
        <f>'[7]5th Subject'!$D30</f>
        <v>39</v>
      </c>
      <c r="AG40" s="27">
        <f>AF40+AE40</f>
        <v>71</v>
      </c>
      <c r="AH40" s="18" t="str">
        <f>IF(AG40&lt;50,"F",IF(AG40&lt;=54.99,"P",IF(AG40&lt;=59.99,"C",IF(AG40&lt;=64.99,"B",IF(AG40&lt;=69.99,"B+",IF(AG40&lt;=74.99,"A",IF(AG40&lt;=79.99,"A+","O")))))))</f>
        <v>A</v>
      </c>
      <c r="AI40" s="18" t="str">
        <f>IF(AG40&lt;50,"0",IF(AG40&lt;=54.99,"4",IF(AG40&lt;=59.99,"5",IF(AG40&lt;=64.99,"6",IF(AG40&lt;=69.99,"7",IF(AG40&lt;=74.99,"8",IF(AG40&lt;=79.99,"9","10")))))))</f>
        <v>8</v>
      </c>
      <c r="AJ40" s="28">
        <v>4</v>
      </c>
      <c r="AK40" s="29">
        <f>AI40*AJ40</f>
        <v>32</v>
      </c>
      <c r="AL40" s="22">
        <f>'[8]6th Subject'!$C30</f>
        <v>32</v>
      </c>
      <c r="AM40" s="22">
        <f>'[8]6th Subject'!$D30</f>
        <v>39</v>
      </c>
      <c r="AN40" s="27">
        <f>AM40+AL40</f>
        <v>71</v>
      </c>
      <c r="AO40" s="18" t="str">
        <f>IF(AN40&lt;50,"F",IF(AN40&lt;=54.99,"P",IF(AN40&lt;=59.99,"C",IF(AN40&lt;=64.99,"B",IF(AN40&lt;=69.99,"B+",IF(AN40&lt;=74.99,"A",IF(AN40&lt;=79.99,"A+","O")))))))</f>
        <v>A</v>
      </c>
      <c r="AP40" s="18" t="str">
        <f>IF(AN40&lt;50,"0",IF(AN40&lt;=54.99,"4",IF(AN40&lt;=59.99,"5",IF(AN40&lt;=64.99,"6",IF(AN40&lt;=69.99,"7",IF(AN40&lt;=74.99,"8",IF(AN40&lt;=79.99,"9","10")))))))</f>
        <v>8</v>
      </c>
      <c r="AQ40" s="28">
        <v>4</v>
      </c>
      <c r="AR40" s="29">
        <f>AP40*AQ40</f>
        <v>32</v>
      </c>
      <c r="AS40" s="16">
        <f>'[9]7th Subject'!$C30</f>
        <v>32</v>
      </c>
      <c r="AT40" s="16">
        <f>'[9]7th Subject'!$D30</f>
        <v>39</v>
      </c>
      <c r="AU40" s="27">
        <f>AT40+AS40</f>
        <v>71</v>
      </c>
      <c r="AV40" s="18" t="str">
        <f>IF(AU40&lt;50,"F",IF(AU40&lt;=54.99,"P",IF(AU40&lt;=59.99,"C",IF(AU40&lt;=64.99,"B",IF(AU40&lt;=69.99,"B+",IF(AU40&lt;=74.99,"A",IF(AU40&lt;=79.99,"A+","O")))))))</f>
        <v>A</v>
      </c>
      <c r="AW40" s="18" t="str">
        <f>IF(AU40&lt;50,"0",IF(AU40&lt;=54.99,"4",IF(AU40&lt;=59.99,"5",IF(AU40&lt;=64.99,"6",IF(AU40&lt;=69.99,"7",IF(AU40&lt;=74.99,"8",IF(AU40&lt;=79.99,"9","10")))))))</f>
        <v>8</v>
      </c>
      <c r="AX40" s="28">
        <v>4</v>
      </c>
      <c r="AY40" s="29">
        <f>AW40*AX40</f>
        <v>32</v>
      </c>
      <c r="AZ40" s="22">
        <f>'[10]8th Subject'!$C30</f>
        <v>32</v>
      </c>
      <c r="BA40" s="22">
        <f>'[10]8th Subject'!$D30</f>
        <v>39</v>
      </c>
      <c r="BB40" s="27">
        <f>BA40+AZ40</f>
        <v>71</v>
      </c>
      <c r="BC40" s="18" t="str">
        <f>IF(BB40&lt;50,"F",IF(BB40&lt;=54.99,"P",IF(BB40&lt;=59.99,"C",IF(BB40&lt;=64.99,"B",IF(BB40&lt;=69.99,"B+",IF(BB40&lt;=74.99,"A",IF(BB40&lt;=79.99,"A+","O")))))))</f>
        <v>A</v>
      </c>
      <c r="BD40" s="18" t="str">
        <f>IF(BB40&lt;50,"0",IF(BB40&lt;=54.99,"4",IF(BB40&lt;=59.99,"5",IF(BB40&lt;=64.99,"6",IF(BB40&lt;=69.99,"7",IF(BB40&lt;=74.99,"8",IF(BB40&lt;=79.99,"9","10")))))))</f>
        <v>8</v>
      </c>
      <c r="BE40" s="28">
        <v>4</v>
      </c>
      <c r="BF40" s="29">
        <f>BD40*BE40</f>
        <v>32</v>
      </c>
      <c r="BG40" s="27">
        <f>AZ40+AS40+AE40+X40+J40+C40+Q40+AL40</f>
        <v>256</v>
      </c>
      <c r="BH40" s="27">
        <f>BA40+AT40+AF40+Y40+K40+D40+R40+AM40</f>
        <v>312</v>
      </c>
      <c r="BI40" s="27">
        <f>BH40+BG40</f>
        <v>568</v>
      </c>
      <c r="BJ40" s="30">
        <f>G40+N40+U40+AB40+AI40+AP40+BD40+AW40</f>
        <v>64</v>
      </c>
      <c r="BK40" s="30">
        <f>I40+P40+W40+AD40+AK40+AY40+BF40+AR40</f>
        <v>256</v>
      </c>
      <c r="BL40" s="25">
        <f>(BN40-0.75)*10</f>
        <v>72.5</v>
      </c>
      <c r="BM40" s="17" t="str">
        <f>IF(OR(C40&lt;20,D40&lt;30,J40&lt;20,K40&lt;30,Q40&lt;20,R40&lt;30,X40&lt;20,Y40&lt;30,AE40&lt;20,AF40&lt;30,AL40&lt;20,AM40&lt;30,AS40&lt;20,AT40&lt;30,AZ40&lt;20,BA40&lt;30),"Unsuccessful","Successful")</f>
        <v>Successful</v>
      </c>
      <c r="BN40" s="31">
        <f>BK40/32</f>
        <v>8</v>
      </c>
      <c r="BO40" s="18" t="str">
        <f>IF(BN40&lt;=4,"F",IF(BN40&lt;=4.5,"P",IF(BN40&lt;=5.5,"C",IF(BN40&lt;=6.5,"B",IF(BN40&lt;=7.5,"B+",IF(BN40&lt;=8.5,"A",IF(BN40&lt;=9.5,"A+","O")))))))</f>
        <v>A</v>
      </c>
      <c r="BP40" s="14" t="str">
        <f>IF(BN40&lt;=4,"50",IF(BN40&lt;=4.5,"50-54.99",IF(BN40&lt;=5.5,"55-59.99",IF(BN40&lt;=6.5,"60-64.99",IF(BN40&lt;=7.5,"65-69.99",IF(BN40&lt;=8.5,"70-74.99",IF(BN40&lt;=9.5,"75-79.99","10")))))))</f>
        <v>70-74.99</v>
      </c>
      <c r="BS40">
        <f>RANK(BN40,$BN$3:$BN$135)</f>
        <v>24</v>
      </c>
    </row>
    <row r="41" spans="1:71" x14ac:dyDescent="0.25">
      <c r="A41" s="14" t="str">
        <f>[2]Sheet1!$A30</f>
        <v>MMS18-20/029</v>
      </c>
      <c r="B41" s="15" t="str">
        <f>[2]Sheet1!$B30</f>
        <v>GANGANI ANKIT SURESH TEJAL</v>
      </c>
      <c r="C41" s="16">
        <f>'[3]1st Subject'!$C31</f>
        <v>30</v>
      </c>
      <c r="D41" s="16">
        <f>'[3]1st Subject'!$D31</f>
        <v>41</v>
      </c>
      <c r="E41" s="27">
        <f>D41+C41</f>
        <v>71</v>
      </c>
      <c r="F41" s="18" t="str">
        <f>IF(E41&lt;50,"F",IF(E41&lt;=54.99,"P",IF(E41&lt;=59.99,"C",IF(E41&lt;=64.99,"B",IF(E41&lt;=69.99,"B+",IF(E41&lt;=74.99,"A",IF(E41&lt;=79.99,"A+","O")))))))</f>
        <v>A</v>
      </c>
      <c r="G41" s="18" t="str">
        <f>IF(E41&lt;50,"0",IF(E41&lt;=54.99,"4",IF(E41&lt;=59.99,"5",IF(E41&lt;=64.99,"6",IF(E41&lt;=69.99,"7",IF(E41&lt;=74.99,"8",IF(E41&lt;=79.99,"9","10")))))))</f>
        <v>8</v>
      </c>
      <c r="H41" s="28">
        <v>4</v>
      </c>
      <c r="I41" s="29">
        <f>G41*H41</f>
        <v>32</v>
      </c>
      <c r="J41" s="16">
        <f>'[4]2nd Subject'!$C31</f>
        <v>30</v>
      </c>
      <c r="K41" s="16">
        <f>'[4]2nd Subject'!$D31</f>
        <v>41</v>
      </c>
      <c r="L41" s="27">
        <f>K41+J41</f>
        <v>71</v>
      </c>
      <c r="M41" s="18" t="str">
        <f>IF(L41&lt;50,"F",IF(L41&lt;=54.99,"P",IF(L41&lt;=59.99,"C",IF(L41&lt;=64.99,"B",IF(L41&lt;=69.99,"B+",IF(L41&lt;=74.99,"A",IF(L41&lt;=79.99,"A+","O")))))))</f>
        <v>A</v>
      </c>
      <c r="N41" s="18" t="str">
        <f>IF(L41&lt;50,"0",IF(L41&lt;=54.99,"4",IF(L41&lt;=59.99,"5",IF(L41&lt;=64.99,"6",IF(L41&lt;=69.99,"7",IF(L41&lt;=74.99,"8",IF(L41&lt;=79.99,"9","10")))))))</f>
        <v>8</v>
      </c>
      <c r="O41" s="28">
        <v>4</v>
      </c>
      <c r="P41" s="29">
        <f>N41*O41</f>
        <v>32</v>
      </c>
      <c r="Q41" s="21">
        <f>'[5]3rd Subject'!$C31</f>
        <v>30</v>
      </c>
      <c r="R41" s="21">
        <f>'[5]3rd Subject'!$D31</f>
        <v>41</v>
      </c>
      <c r="S41" s="27">
        <f>R41+Q41</f>
        <v>71</v>
      </c>
      <c r="T41" s="18" t="str">
        <f>IF(S41&lt;50,"F",IF(S41&lt;=54.99,"P",IF(S41&lt;=59.99,"C",IF(S41&lt;=64.99,"B",IF(S41&lt;=69.99,"B+",IF(S41&lt;=74.99,"A",IF(S41&lt;=79.99,"A+","O")))))))</f>
        <v>A</v>
      </c>
      <c r="U41" s="18" t="str">
        <f>IF(S41&lt;50,"0",IF(S41&lt;=54.99,"4",IF(S41&lt;=59.99,"5",IF(S41&lt;=64.99,"6",IF(S41&lt;=69.99,"7",IF(S41&lt;=74.99,"8",IF(S41&lt;=79.99,"9","10")))))))</f>
        <v>8</v>
      </c>
      <c r="V41" s="28">
        <v>4</v>
      </c>
      <c r="W41" s="29">
        <f>U41*V41</f>
        <v>32</v>
      </c>
      <c r="X41" s="22">
        <f>'[6]4th Subject'!$C31</f>
        <v>30</v>
      </c>
      <c r="Y41" s="23">
        <f>'[6]4th Subject'!$D31</f>
        <v>41</v>
      </c>
      <c r="Z41" s="27">
        <f>Y41+X41</f>
        <v>71</v>
      </c>
      <c r="AA41" s="18" t="str">
        <f>IF(Z41&lt;50,"F",IF(Z41&lt;=54.99,"P",IF(Z41&lt;=59.99,"C",IF(Z41&lt;=64.99,"B",IF(Z41&lt;=69.99,"B+",IF(Z41&lt;=74.99,"A",IF(Z41&lt;=79.99,"A+","O")))))))</f>
        <v>A</v>
      </c>
      <c r="AB41" s="18" t="str">
        <f>IF(Z41&lt;50,"0",IF(Z41&lt;=54.99,"4",IF(Z41&lt;=59.99,"5",IF(Z41&lt;=64.99,"6",IF(Z41&lt;=69.99,"7",IF(Z41&lt;=74.99,"8",IF(Z41&lt;=79.99,"9","10")))))))</f>
        <v>8</v>
      </c>
      <c r="AC41" s="28">
        <v>4</v>
      </c>
      <c r="AD41" s="29">
        <f>AB41*AC41</f>
        <v>32</v>
      </c>
      <c r="AE41" s="22">
        <f>'[7]5th Subject'!$C31</f>
        <v>30</v>
      </c>
      <c r="AF41" s="23">
        <f>'[7]5th Subject'!$D31</f>
        <v>41</v>
      </c>
      <c r="AG41" s="27">
        <f>AF41+AE41</f>
        <v>71</v>
      </c>
      <c r="AH41" s="18" t="str">
        <f>IF(AG41&lt;50,"F",IF(AG41&lt;=54.99,"P",IF(AG41&lt;=59.99,"C",IF(AG41&lt;=64.99,"B",IF(AG41&lt;=69.99,"B+",IF(AG41&lt;=74.99,"A",IF(AG41&lt;=79.99,"A+","O")))))))</f>
        <v>A</v>
      </c>
      <c r="AI41" s="18" t="str">
        <f>IF(AG41&lt;50,"0",IF(AG41&lt;=54.99,"4",IF(AG41&lt;=59.99,"5",IF(AG41&lt;=64.99,"6",IF(AG41&lt;=69.99,"7",IF(AG41&lt;=74.99,"8",IF(AG41&lt;=79.99,"9","10")))))))</f>
        <v>8</v>
      </c>
      <c r="AJ41" s="28">
        <v>4</v>
      </c>
      <c r="AK41" s="29">
        <f>AI41*AJ41</f>
        <v>32</v>
      </c>
      <c r="AL41" s="22">
        <f>'[8]6th Subject'!$C31</f>
        <v>30</v>
      </c>
      <c r="AM41" s="22">
        <f>'[8]6th Subject'!$D31</f>
        <v>41</v>
      </c>
      <c r="AN41" s="27">
        <f>AM41+AL41</f>
        <v>71</v>
      </c>
      <c r="AO41" s="18" t="str">
        <f>IF(AN41&lt;50,"F",IF(AN41&lt;=54.99,"P",IF(AN41&lt;=59.99,"C",IF(AN41&lt;=64.99,"B",IF(AN41&lt;=69.99,"B+",IF(AN41&lt;=74.99,"A",IF(AN41&lt;=79.99,"A+","O")))))))</f>
        <v>A</v>
      </c>
      <c r="AP41" s="18" t="str">
        <f>IF(AN41&lt;50,"0",IF(AN41&lt;=54.99,"4",IF(AN41&lt;=59.99,"5",IF(AN41&lt;=64.99,"6",IF(AN41&lt;=69.99,"7",IF(AN41&lt;=74.99,"8",IF(AN41&lt;=79.99,"9","10")))))))</f>
        <v>8</v>
      </c>
      <c r="AQ41" s="28">
        <v>4</v>
      </c>
      <c r="AR41" s="29">
        <f>AP41*AQ41</f>
        <v>32</v>
      </c>
      <c r="AS41" s="16">
        <f>'[9]7th Subject'!$C31</f>
        <v>30</v>
      </c>
      <c r="AT41" s="16">
        <f>'[9]7th Subject'!$D31</f>
        <v>41</v>
      </c>
      <c r="AU41" s="27">
        <f>AT41+AS41</f>
        <v>71</v>
      </c>
      <c r="AV41" s="18" t="str">
        <f>IF(AU41&lt;50,"F",IF(AU41&lt;=54.99,"P",IF(AU41&lt;=59.99,"C",IF(AU41&lt;=64.99,"B",IF(AU41&lt;=69.99,"B+",IF(AU41&lt;=74.99,"A",IF(AU41&lt;=79.99,"A+","O")))))))</f>
        <v>A</v>
      </c>
      <c r="AW41" s="18" t="str">
        <f>IF(AU41&lt;50,"0",IF(AU41&lt;=54.99,"4",IF(AU41&lt;=59.99,"5",IF(AU41&lt;=64.99,"6",IF(AU41&lt;=69.99,"7",IF(AU41&lt;=74.99,"8",IF(AU41&lt;=79.99,"9","10")))))))</f>
        <v>8</v>
      </c>
      <c r="AX41" s="28">
        <v>4</v>
      </c>
      <c r="AY41" s="29">
        <f>AW41*AX41</f>
        <v>32</v>
      </c>
      <c r="AZ41" s="22">
        <f>'[10]8th Subject'!$C31</f>
        <v>30</v>
      </c>
      <c r="BA41" s="22">
        <f>'[10]8th Subject'!$D31</f>
        <v>41</v>
      </c>
      <c r="BB41" s="27">
        <f>BA41+AZ41</f>
        <v>71</v>
      </c>
      <c r="BC41" s="18" t="str">
        <f>IF(BB41&lt;50,"F",IF(BB41&lt;=54.99,"P",IF(BB41&lt;=59.99,"C",IF(BB41&lt;=64.99,"B",IF(BB41&lt;=69.99,"B+",IF(BB41&lt;=74.99,"A",IF(BB41&lt;=79.99,"A+","O")))))))</f>
        <v>A</v>
      </c>
      <c r="BD41" s="18" t="str">
        <f>IF(BB41&lt;50,"0",IF(BB41&lt;=54.99,"4",IF(BB41&lt;=59.99,"5",IF(BB41&lt;=64.99,"6",IF(BB41&lt;=69.99,"7",IF(BB41&lt;=74.99,"8",IF(BB41&lt;=79.99,"9","10")))))))</f>
        <v>8</v>
      </c>
      <c r="BE41" s="28">
        <v>4</v>
      </c>
      <c r="BF41" s="29">
        <f>BD41*BE41</f>
        <v>32</v>
      </c>
      <c r="BG41" s="27">
        <f>AZ41+AS41+AE41+X41+J41+C41+Q41+AL41</f>
        <v>240</v>
      </c>
      <c r="BH41" s="27">
        <f>BA41+AT41+AF41+Y41+K41+D41+R41+AM41</f>
        <v>328</v>
      </c>
      <c r="BI41" s="27">
        <f>BH41+BG41</f>
        <v>568</v>
      </c>
      <c r="BJ41" s="30">
        <f>G41+N41+U41+AB41+AI41+AP41+BD41+AW41</f>
        <v>64</v>
      </c>
      <c r="BK41" s="30">
        <f>I41+P41+W41+AD41+AK41+AY41+BF41+AR41</f>
        <v>256</v>
      </c>
      <c r="BL41" s="25">
        <f>(BN41-0.75)*10</f>
        <v>72.5</v>
      </c>
      <c r="BM41" s="17" t="str">
        <f>IF(OR(C41&lt;20,D41&lt;30,J41&lt;20,K41&lt;30,Q41&lt;20,R41&lt;30,X41&lt;20,Y41&lt;30,AE41&lt;20,AF41&lt;30,AL41&lt;20,AM41&lt;30,AS41&lt;20,AT41&lt;30,AZ41&lt;20,BA41&lt;30),"Unsuccessful","Successful")</f>
        <v>Successful</v>
      </c>
      <c r="BN41" s="31">
        <f>BK41/32</f>
        <v>8</v>
      </c>
      <c r="BO41" s="18" t="str">
        <f>IF(BN41&lt;=4,"F",IF(BN41&lt;=4.5,"P",IF(BN41&lt;=5.5,"C",IF(BN41&lt;=6.5,"B",IF(BN41&lt;=7.5,"B+",IF(BN41&lt;=8.5,"A",IF(BN41&lt;=9.5,"A+","O")))))))</f>
        <v>A</v>
      </c>
      <c r="BP41" s="14" t="str">
        <f>IF(BN41&lt;=4,"50",IF(BN41&lt;=4.5,"50-54.99",IF(BN41&lt;=5.5,"55-59.99",IF(BN41&lt;=6.5,"60-64.99",IF(BN41&lt;=7.5,"65-69.99",IF(BN41&lt;=8.5,"70-74.99",IF(BN41&lt;=9.5,"75-79.99","10")))))))</f>
        <v>70-74.99</v>
      </c>
      <c r="BS41">
        <f>RANK(BN41,$BN$3:$BN$135)</f>
        <v>24</v>
      </c>
    </row>
    <row r="42" spans="1:71" x14ac:dyDescent="0.25">
      <c r="A42" s="14" t="str">
        <f>[2]Sheet1!$A40</f>
        <v>MMS18-20/039</v>
      </c>
      <c r="B42" s="15" t="str">
        <f>[2]Sheet1!$B40</f>
        <v>KAMBLE NIKHIL KESHAVRAO SUSHILA</v>
      </c>
      <c r="C42" s="16">
        <f>'[3]1st Subject'!$C41</f>
        <v>32</v>
      </c>
      <c r="D42" s="16">
        <f>'[3]1st Subject'!$D41</f>
        <v>39</v>
      </c>
      <c r="E42" s="27">
        <f>D42+C42</f>
        <v>71</v>
      </c>
      <c r="F42" s="18" t="str">
        <f>IF(E42&lt;50,"F",IF(E42&lt;=54.99,"P",IF(E42&lt;=59.99,"C",IF(E42&lt;=64.99,"B",IF(E42&lt;=69.99,"B+",IF(E42&lt;=74.99,"A",IF(E42&lt;=79.99,"A+","O")))))))</f>
        <v>A</v>
      </c>
      <c r="G42" s="18" t="str">
        <f>IF(E42&lt;50,"0",IF(E42&lt;=54.99,"4",IF(E42&lt;=59.99,"5",IF(E42&lt;=64.99,"6",IF(E42&lt;=69.99,"7",IF(E42&lt;=74.99,"8",IF(E42&lt;=79.99,"9","10")))))))</f>
        <v>8</v>
      </c>
      <c r="H42" s="28">
        <v>4</v>
      </c>
      <c r="I42" s="29">
        <f>G42*H42</f>
        <v>32</v>
      </c>
      <c r="J42" s="16">
        <f>'[4]2nd Subject'!$C41</f>
        <v>32</v>
      </c>
      <c r="K42" s="16">
        <f>'[4]2nd Subject'!$D41</f>
        <v>39</v>
      </c>
      <c r="L42" s="27">
        <f>K42+J42</f>
        <v>71</v>
      </c>
      <c r="M42" s="18" t="str">
        <f>IF(L42&lt;50,"F",IF(L42&lt;=54.99,"P",IF(L42&lt;=59.99,"C",IF(L42&lt;=64.99,"B",IF(L42&lt;=69.99,"B+",IF(L42&lt;=74.99,"A",IF(L42&lt;=79.99,"A+","O")))))))</f>
        <v>A</v>
      </c>
      <c r="N42" s="18" t="str">
        <f>IF(L42&lt;50,"0",IF(L42&lt;=54.99,"4",IF(L42&lt;=59.99,"5",IF(L42&lt;=64.99,"6",IF(L42&lt;=69.99,"7",IF(L42&lt;=74.99,"8",IF(L42&lt;=79.99,"9","10")))))))</f>
        <v>8</v>
      </c>
      <c r="O42" s="28">
        <v>4</v>
      </c>
      <c r="P42" s="29">
        <f>N42*O42</f>
        <v>32</v>
      </c>
      <c r="Q42" s="21">
        <f>'[5]3rd Subject'!$C41</f>
        <v>32</v>
      </c>
      <c r="R42" s="21">
        <f>'[5]3rd Subject'!$D41</f>
        <v>39</v>
      </c>
      <c r="S42" s="27">
        <f>R42+Q42</f>
        <v>71</v>
      </c>
      <c r="T42" s="18" t="str">
        <f>IF(S42&lt;50,"F",IF(S42&lt;=54.99,"P",IF(S42&lt;=59.99,"C",IF(S42&lt;=64.99,"B",IF(S42&lt;=69.99,"B+",IF(S42&lt;=74.99,"A",IF(S42&lt;=79.99,"A+","O")))))))</f>
        <v>A</v>
      </c>
      <c r="U42" s="18" t="str">
        <f>IF(S42&lt;50,"0",IF(S42&lt;=54.99,"4",IF(S42&lt;=59.99,"5",IF(S42&lt;=64.99,"6",IF(S42&lt;=69.99,"7",IF(S42&lt;=74.99,"8",IF(S42&lt;=79.99,"9","10")))))))</f>
        <v>8</v>
      </c>
      <c r="V42" s="28">
        <v>4</v>
      </c>
      <c r="W42" s="29">
        <f>U42*V42</f>
        <v>32</v>
      </c>
      <c r="X42" s="22">
        <f>'[6]4th Subject'!$C41</f>
        <v>32</v>
      </c>
      <c r="Y42" s="23">
        <f>'[6]4th Subject'!$D41</f>
        <v>39</v>
      </c>
      <c r="Z42" s="27">
        <f>Y42+X42</f>
        <v>71</v>
      </c>
      <c r="AA42" s="18" t="str">
        <f>IF(Z42&lt;50,"F",IF(Z42&lt;=54.99,"P",IF(Z42&lt;=59.99,"C",IF(Z42&lt;=64.99,"B",IF(Z42&lt;=69.99,"B+",IF(Z42&lt;=74.99,"A",IF(Z42&lt;=79.99,"A+","O")))))))</f>
        <v>A</v>
      </c>
      <c r="AB42" s="18" t="str">
        <f>IF(Z42&lt;50,"0",IF(Z42&lt;=54.99,"4",IF(Z42&lt;=59.99,"5",IF(Z42&lt;=64.99,"6",IF(Z42&lt;=69.99,"7",IF(Z42&lt;=74.99,"8",IF(Z42&lt;=79.99,"9","10")))))))</f>
        <v>8</v>
      </c>
      <c r="AC42" s="28">
        <v>4</v>
      </c>
      <c r="AD42" s="29">
        <f>AB42*AC42</f>
        <v>32</v>
      </c>
      <c r="AE42" s="22">
        <f>'[7]5th Subject'!$C41</f>
        <v>32</v>
      </c>
      <c r="AF42" s="23">
        <f>'[7]5th Subject'!$D41</f>
        <v>39</v>
      </c>
      <c r="AG42" s="27">
        <f>AF42+AE42</f>
        <v>71</v>
      </c>
      <c r="AH42" s="18" t="str">
        <f>IF(AG42&lt;50,"F",IF(AG42&lt;=54.99,"P",IF(AG42&lt;=59.99,"C",IF(AG42&lt;=64.99,"B",IF(AG42&lt;=69.99,"B+",IF(AG42&lt;=74.99,"A",IF(AG42&lt;=79.99,"A+","O")))))))</f>
        <v>A</v>
      </c>
      <c r="AI42" s="18" t="str">
        <f>IF(AG42&lt;50,"0",IF(AG42&lt;=54.99,"4",IF(AG42&lt;=59.99,"5",IF(AG42&lt;=64.99,"6",IF(AG42&lt;=69.99,"7",IF(AG42&lt;=74.99,"8",IF(AG42&lt;=79.99,"9","10")))))))</f>
        <v>8</v>
      </c>
      <c r="AJ42" s="28">
        <v>4</v>
      </c>
      <c r="AK42" s="29">
        <f>AI42*AJ42</f>
        <v>32</v>
      </c>
      <c r="AL42" s="22">
        <f>'[8]6th Subject'!$C41</f>
        <v>32</v>
      </c>
      <c r="AM42" s="22">
        <f>'[8]6th Subject'!$D41</f>
        <v>39</v>
      </c>
      <c r="AN42" s="27">
        <f>AM42+AL42</f>
        <v>71</v>
      </c>
      <c r="AO42" s="18" t="str">
        <f>IF(AN42&lt;50,"F",IF(AN42&lt;=54.99,"P",IF(AN42&lt;=59.99,"C",IF(AN42&lt;=64.99,"B",IF(AN42&lt;=69.99,"B+",IF(AN42&lt;=74.99,"A",IF(AN42&lt;=79.99,"A+","O")))))))</f>
        <v>A</v>
      </c>
      <c r="AP42" s="18" t="str">
        <f>IF(AN42&lt;50,"0",IF(AN42&lt;=54.99,"4",IF(AN42&lt;=59.99,"5",IF(AN42&lt;=64.99,"6",IF(AN42&lt;=69.99,"7",IF(AN42&lt;=74.99,"8",IF(AN42&lt;=79.99,"9","10")))))))</f>
        <v>8</v>
      </c>
      <c r="AQ42" s="28">
        <v>4</v>
      </c>
      <c r="AR42" s="29">
        <f>AP42*AQ42</f>
        <v>32</v>
      </c>
      <c r="AS42" s="16">
        <f>'[9]7th Subject'!$C41</f>
        <v>32</v>
      </c>
      <c r="AT42" s="16">
        <f>'[9]7th Subject'!$D41</f>
        <v>39</v>
      </c>
      <c r="AU42" s="27">
        <f>AT42+AS42</f>
        <v>71</v>
      </c>
      <c r="AV42" s="18" t="str">
        <f>IF(AU42&lt;50,"F",IF(AU42&lt;=54.99,"P",IF(AU42&lt;=59.99,"C",IF(AU42&lt;=64.99,"B",IF(AU42&lt;=69.99,"B+",IF(AU42&lt;=74.99,"A",IF(AU42&lt;=79.99,"A+","O")))))))</f>
        <v>A</v>
      </c>
      <c r="AW42" s="18" t="str">
        <f>IF(AU42&lt;50,"0",IF(AU42&lt;=54.99,"4",IF(AU42&lt;=59.99,"5",IF(AU42&lt;=64.99,"6",IF(AU42&lt;=69.99,"7",IF(AU42&lt;=74.99,"8",IF(AU42&lt;=79.99,"9","10")))))))</f>
        <v>8</v>
      </c>
      <c r="AX42" s="28">
        <v>4</v>
      </c>
      <c r="AY42" s="29">
        <f>AW42*AX42</f>
        <v>32</v>
      </c>
      <c r="AZ42" s="22">
        <f>'[10]8th Subject'!$C41</f>
        <v>32</v>
      </c>
      <c r="BA42" s="22">
        <f>'[10]8th Subject'!$D41</f>
        <v>39</v>
      </c>
      <c r="BB42" s="27">
        <f>BA42+AZ42</f>
        <v>71</v>
      </c>
      <c r="BC42" s="18" t="str">
        <f>IF(BB42&lt;50,"F",IF(BB42&lt;=54.99,"P",IF(BB42&lt;=59.99,"C",IF(BB42&lt;=64.99,"B",IF(BB42&lt;=69.99,"B+",IF(BB42&lt;=74.99,"A",IF(BB42&lt;=79.99,"A+","O")))))))</f>
        <v>A</v>
      </c>
      <c r="BD42" s="18" t="str">
        <f>IF(BB42&lt;50,"0",IF(BB42&lt;=54.99,"4",IF(BB42&lt;=59.99,"5",IF(BB42&lt;=64.99,"6",IF(BB42&lt;=69.99,"7",IF(BB42&lt;=74.99,"8",IF(BB42&lt;=79.99,"9","10")))))))</f>
        <v>8</v>
      </c>
      <c r="BE42" s="28">
        <v>4</v>
      </c>
      <c r="BF42" s="29">
        <f>BD42*BE42</f>
        <v>32</v>
      </c>
      <c r="BG42" s="27">
        <f>AZ42+AS42+AE42+X42+J42+C42+Q42+AL42</f>
        <v>256</v>
      </c>
      <c r="BH42" s="27">
        <f>BA42+AT42+AF42+Y42+K42+D42+R42+AM42</f>
        <v>312</v>
      </c>
      <c r="BI42" s="27">
        <f>BH42+BG42</f>
        <v>568</v>
      </c>
      <c r="BJ42" s="30">
        <f>G42+N42+U42+AB42+AI42+AP42+BD42+AW42</f>
        <v>64</v>
      </c>
      <c r="BK42" s="30">
        <f>I42+P42+W42+AD42+AK42+AY42+BF42+AR42</f>
        <v>256</v>
      </c>
      <c r="BL42" s="25">
        <f>(BN42-0.75)*10</f>
        <v>72.5</v>
      </c>
      <c r="BM42" s="17" t="str">
        <f>IF(OR(C42&lt;20,D42&lt;30,J42&lt;20,K42&lt;30,Q42&lt;20,R42&lt;30,X42&lt;20,Y42&lt;30,AE42&lt;20,AF42&lt;30,AL42&lt;20,AM42&lt;30,AS42&lt;20,AT42&lt;30,AZ42&lt;20,BA42&lt;30),"Unsuccessful","Successful")</f>
        <v>Successful</v>
      </c>
      <c r="BN42" s="31">
        <f>BK42/32</f>
        <v>8</v>
      </c>
      <c r="BO42" s="18" t="str">
        <f>IF(BN42&lt;=4,"F",IF(BN42&lt;=4.5,"P",IF(BN42&lt;=5.5,"C",IF(BN42&lt;=6.5,"B",IF(BN42&lt;=7.5,"B+",IF(BN42&lt;=8.5,"A",IF(BN42&lt;=9.5,"A+","O")))))))</f>
        <v>A</v>
      </c>
      <c r="BP42" s="14" t="str">
        <f>IF(BN42&lt;=4,"50",IF(BN42&lt;=4.5,"50-54.99",IF(BN42&lt;=5.5,"55-59.99",IF(BN42&lt;=6.5,"60-64.99",IF(BN42&lt;=7.5,"65-69.99",IF(BN42&lt;=8.5,"70-74.99",IF(BN42&lt;=9.5,"75-79.99","10")))))))</f>
        <v>70-74.99</v>
      </c>
      <c r="BS42">
        <f>RANK(BN42,$BN$3:$BN$135)</f>
        <v>24</v>
      </c>
    </row>
    <row r="43" spans="1:71" x14ac:dyDescent="0.25">
      <c r="A43" s="14" t="str">
        <f>[2]Sheet1!$A41</f>
        <v>MMS18-20/040</v>
      </c>
      <c r="B43" s="15" t="str">
        <f>[2]Sheet1!$B41</f>
        <v>KAMBLE SIDDHESH RAMESH SUHASINI</v>
      </c>
      <c r="C43" s="16">
        <f>'[3]1st Subject'!$C42</f>
        <v>30</v>
      </c>
      <c r="D43" s="16">
        <f>'[3]1st Subject'!$D42</f>
        <v>41</v>
      </c>
      <c r="E43" s="27">
        <f>D43+C43</f>
        <v>71</v>
      </c>
      <c r="F43" s="18" t="str">
        <f>IF(E43&lt;50,"F",IF(E43&lt;=54.99,"P",IF(E43&lt;=59.99,"C",IF(E43&lt;=64.99,"B",IF(E43&lt;=69.99,"B+",IF(E43&lt;=74.99,"A",IF(E43&lt;=79.99,"A+","O")))))))</f>
        <v>A</v>
      </c>
      <c r="G43" s="18" t="str">
        <f>IF(E43&lt;50,"0",IF(E43&lt;=54.99,"4",IF(E43&lt;=59.99,"5",IF(E43&lt;=64.99,"6",IF(E43&lt;=69.99,"7",IF(E43&lt;=74.99,"8",IF(E43&lt;=79.99,"9","10")))))))</f>
        <v>8</v>
      </c>
      <c r="H43" s="28">
        <v>4</v>
      </c>
      <c r="I43" s="29">
        <f>G43*H43</f>
        <v>32</v>
      </c>
      <c r="J43" s="16">
        <f>'[4]2nd Subject'!$C42</f>
        <v>30</v>
      </c>
      <c r="K43" s="16">
        <f>'[4]2nd Subject'!$D42</f>
        <v>41</v>
      </c>
      <c r="L43" s="27">
        <f>K43+J43</f>
        <v>71</v>
      </c>
      <c r="M43" s="18" t="str">
        <f>IF(L43&lt;50,"F",IF(L43&lt;=54.99,"P",IF(L43&lt;=59.99,"C",IF(L43&lt;=64.99,"B",IF(L43&lt;=69.99,"B+",IF(L43&lt;=74.99,"A",IF(L43&lt;=79.99,"A+","O")))))))</f>
        <v>A</v>
      </c>
      <c r="N43" s="18" t="str">
        <f>IF(L43&lt;50,"0",IF(L43&lt;=54.99,"4",IF(L43&lt;=59.99,"5",IF(L43&lt;=64.99,"6",IF(L43&lt;=69.99,"7",IF(L43&lt;=74.99,"8",IF(L43&lt;=79.99,"9","10")))))))</f>
        <v>8</v>
      </c>
      <c r="O43" s="28">
        <v>4</v>
      </c>
      <c r="P43" s="29">
        <f>N43*O43</f>
        <v>32</v>
      </c>
      <c r="Q43" s="21">
        <f>'[5]3rd Subject'!$C42</f>
        <v>30</v>
      </c>
      <c r="R43" s="21">
        <f>'[5]3rd Subject'!$D42</f>
        <v>41</v>
      </c>
      <c r="S43" s="27">
        <f>R43+Q43</f>
        <v>71</v>
      </c>
      <c r="T43" s="18" t="str">
        <f>IF(S43&lt;50,"F",IF(S43&lt;=54.99,"P",IF(S43&lt;=59.99,"C",IF(S43&lt;=64.99,"B",IF(S43&lt;=69.99,"B+",IF(S43&lt;=74.99,"A",IF(S43&lt;=79.99,"A+","O")))))))</f>
        <v>A</v>
      </c>
      <c r="U43" s="18" t="str">
        <f>IF(S43&lt;50,"0",IF(S43&lt;=54.99,"4",IF(S43&lt;=59.99,"5",IF(S43&lt;=64.99,"6",IF(S43&lt;=69.99,"7",IF(S43&lt;=74.99,"8",IF(S43&lt;=79.99,"9","10")))))))</f>
        <v>8</v>
      </c>
      <c r="V43" s="28">
        <v>4</v>
      </c>
      <c r="W43" s="29">
        <f>U43*V43</f>
        <v>32</v>
      </c>
      <c r="X43" s="22">
        <f>'[6]4th Subject'!$C42</f>
        <v>30</v>
      </c>
      <c r="Y43" s="23">
        <f>'[6]4th Subject'!$D42</f>
        <v>41</v>
      </c>
      <c r="Z43" s="27">
        <f>Y43+X43</f>
        <v>71</v>
      </c>
      <c r="AA43" s="18" t="str">
        <f>IF(Z43&lt;50,"F",IF(Z43&lt;=54.99,"P",IF(Z43&lt;=59.99,"C",IF(Z43&lt;=64.99,"B",IF(Z43&lt;=69.99,"B+",IF(Z43&lt;=74.99,"A",IF(Z43&lt;=79.99,"A+","O")))))))</f>
        <v>A</v>
      </c>
      <c r="AB43" s="18" t="str">
        <f>IF(Z43&lt;50,"0",IF(Z43&lt;=54.99,"4",IF(Z43&lt;=59.99,"5",IF(Z43&lt;=64.99,"6",IF(Z43&lt;=69.99,"7",IF(Z43&lt;=74.99,"8",IF(Z43&lt;=79.99,"9","10")))))))</f>
        <v>8</v>
      </c>
      <c r="AC43" s="28">
        <v>4</v>
      </c>
      <c r="AD43" s="29">
        <f>AB43*AC43</f>
        <v>32</v>
      </c>
      <c r="AE43" s="22">
        <f>'[7]5th Subject'!$C42</f>
        <v>30</v>
      </c>
      <c r="AF43" s="23">
        <f>'[7]5th Subject'!$D42</f>
        <v>41</v>
      </c>
      <c r="AG43" s="27">
        <f>AF43+AE43</f>
        <v>71</v>
      </c>
      <c r="AH43" s="18" t="str">
        <f>IF(AG43&lt;50,"F",IF(AG43&lt;=54.99,"P",IF(AG43&lt;=59.99,"C",IF(AG43&lt;=64.99,"B",IF(AG43&lt;=69.99,"B+",IF(AG43&lt;=74.99,"A",IF(AG43&lt;=79.99,"A+","O")))))))</f>
        <v>A</v>
      </c>
      <c r="AI43" s="18" t="str">
        <f>IF(AG43&lt;50,"0",IF(AG43&lt;=54.99,"4",IF(AG43&lt;=59.99,"5",IF(AG43&lt;=64.99,"6",IF(AG43&lt;=69.99,"7",IF(AG43&lt;=74.99,"8",IF(AG43&lt;=79.99,"9","10")))))))</f>
        <v>8</v>
      </c>
      <c r="AJ43" s="28">
        <v>4</v>
      </c>
      <c r="AK43" s="29">
        <f>AI43*AJ43</f>
        <v>32</v>
      </c>
      <c r="AL43" s="22">
        <f>'[8]6th Subject'!$C42</f>
        <v>30</v>
      </c>
      <c r="AM43" s="22">
        <f>'[8]6th Subject'!$D42</f>
        <v>41</v>
      </c>
      <c r="AN43" s="27">
        <f>AM43+AL43</f>
        <v>71</v>
      </c>
      <c r="AO43" s="18" t="str">
        <f>IF(AN43&lt;50,"F",IF(AN43&lt;=54.99,"P",IF(AN43&lt;=59.99,"C",IF(AN43&lt;=64.99,"B",IF(AN43&lt;=69.99,"B+",IF(AN43&lt;=74.99,"A",IF(AN43&lt;=79.99,"A+","O")))))))</f>
        <v>A</v>
      </c>
      <c r="AP43" s="18" t="str">
        <f>IF(AN43&lt;50,"0",IF(AN43&lt;=54.99,"4",IF(AN43&lt;=59.99,"5",IF(AN43&lt;=64.99,"6",IF(AN43&lt;=69.99,"7",IF(AN43&lt;=74.99,"8",IF(AN43&lt;=79.99,"9","10")))))))</f>
        <v>8</v>
      </c>
      <c r="AQ43" s="28">
        <v>4</v>
      </c>
      <c r="AR43" s="29">
        <f>AP43*AQ43</f>
        <v>32</v>
      </c>
      <c r="AS43" s="16">
        <f>'[9]7th Subject'!$C42</f>
        <v>30</v>
      </c>
      <c r="AT43" s="16">
        <f>'[9]7th Subject'!$D42</f>
        <v>41</v>
      </c>
      <c r="AU43" s="27">
        <f>AT43+AS43</f>
        <v>71</v>
      </c>
      <c r="AV43" s="18" t="str">
        <f>IF(AU43&lt;50,"F",IF(AU43&lt;=54.99,"P",IF(AU43&lt;=59.99,"C",IF(AU43&lt;=64.99,"B",IF(AU43&lt;=69.99,"B+",IF(AU43&lt;=74.99,"A",IF(AU43&lt;=79.99,"A+","O")))))))</f>
        <v>A</v>
      </c>
      <c r="AW43" s="18" t="str">
        <f>IF(AU43&lt;50,"0",IF(AU43&lt;=54.99,"4",IF(AU43&lt;=59.99,"5",IF(AU43&lt;=64.99,"6",IF(AU43&lt;=69.99,"7",IF(AU43&lt;=74.99,"8",IF(AU43&lt;=79.99,"9","10")))))))</f>
        <v>8</v>
      </c>
      <c r="AX43" s="28">
        <v>4</v>
      </c>
      <c r="AY43" s="29">
        <f>AW43*AX43</f>
        <v>32</v>
      </c>
      <c r="AZ43" s="22">
        <f>'[10]8th Subject'!$C42</f>
        <v>30</v>
      </c>
      <c r="BA43" s="22">
        <f>'[10]8th Subject'!$D42</f>
        <v>41</v>
      </c>
      <c r="BB43" s="27">
        <f>BA43+AZ43</f>
        <v>71</v>
      </c>
      <c r="BC43" s="18" t="str">
        <f>IF(BB43&lt;50,"F",IF(BB43&lt;=54.99,"P",IF(BB43&lt;=59.99,"C",IF(BB43&lt;=64.99,"B",IF(BB43&lt;=69.99,"B+",IF(BB43&lt;=74.99,"A",IF(BB43&lt;=79.99,"A+","O")))))))</f>
        <v>A</v>
      </c>
      <c r="BD43" s="18" t="str">
        <f>IF(BB43&lt;50,"0",IF(BB43&lt;=54.99,"4",IF(BB43&lt;=59.99,"5",IF(BB43&lt;=64.99,"6",IF(BB43&lt;=69.99,"7",IF(BB43&lt;=74.99,"8",IF(BB43&lt;=79.99,"9","10")))))))</f>
        <v>8</v>
      </c>
      <c r="BE43" s="28">
        <v>4</v>
      </c>
      <c r="BF43" s="29">
        <f>BD43*BE43</f>
        <v>32</v>
      </c>
      <c r="BG43" s="27">
        <f>AZ43+AS43+AE43+X43+J43+C43+Q43+AL43</f>
        <v>240</v>
      </c>
      <c r="BH43" s="27">
        <f>BA43+AT43+AF43+Y43+K43+D43+R43+AM43</f>
        <v>328</v>
      </c>
      <c r="BI43" s="27">
        <f>BH43+BG43</f>
        <v>568</v>
      </c>
      <c r="BJ43" s="30">
        <f>G43+N43+U43+AB43+AI43+AP43+BD43+AW43</f>
        <v>64</v>
      </c>
      <c r="BK43" s="30">
        <f>I43+P43+W43+AD43+AK43+AY43+BF43+AR43</f>
        <v>256</v>
      </c>
      <c r="BL43" s="25">
        <f>(BN43-0.75)*10</f>
        <v>72.5</v>
      </c>
      <c r="BM43" s="17" t="str">
        <f>IF(OR(C43&lt;20,D43&lt;30,J43&lt;20,K43&lt;30,Q43&lt;20,R43&lt;30,X43&lt;20,Y43&lt;30,AE43&lt;20,AF43&lt;30,AL43&lt;20,AM43&lt;30,AS43&lt;20,AT43&lt;30,AZ43&lt;20,BA43&lt;30),"Unsuccessful","Successful")</f>
        <v>Successful</v>
      </c>
      <c r="BN43" s="31">
        <f>BK43/32</f>
        <v>8</v>
      </c>
      <c r="BO43" s="18" t="str">
        <f>IF(BN43&lt;=4,"F",IF(BN43&lt;=4.5,"P",IF(BN43&lt;=5.5,"C",IF(BN43&lt;=6.5,"B",IF(BN43&lt;=7.5,"B+",IF(BN43&lt;=8.5,"A",IF(BN43&lt;=9.5,"A+","O")))))))</f>
        <v>A</v>
      </c>
      <c r="BP43" s="14" t="str">
        <f>IF(BN43&lt;=4,"50",IF(BN43&lt;=4.5,"50-54.99",IF(BN43&lt;=5.5,"55-59.99",IF(BN43&lt;=6.5,"60-64.99",IF(BN43&lt;=7.5,"65-69.99",IF(BN43&lt;=8.5,"70-74.99",IF(BN43&lt;=9.5,"75-79.99","10")))))))</f>
        <v>70-74.99</v>
      </c>
      <c r="BS43">
        <f>RANK(BN43,$BN$3:$BN$135)</f>
        <v>24</v>
      </c>
    </row>
    <row r="44" spans="1:71" x14ac:dyDescent="0.25">
      <c r="A44" s="14" t="str">
        <f>[2]Sheet1!$A51</f>
        <v>MMS18-20/050</v>
      </c>
      <c r="B44" s="15" t="str">
        <f>[2]Sheet1!$B51</f>
        <v>/MANDAVKAR CHAITRALI SANJAY SUCHITA</v>
      </c>
      <c r="C44" s="16">
        <f>'[3]1st Subject'!$C52</f>
        <v>32</v>
      </c>
      <c r="D44" s="16">
        <f>'[3]1st Subject'!$D52</f>
        <v>39</v>
      </c>
      <c r="E44" s="27">
        <f>D44+C44</f>
        <v>71</v>
      </c>
      <c r="F44" s="18" t="str">
        <f>IF(E44&lt;50,"F",IF(E44&lt;=54.99,"P",IF(E44&lt;=59.99,"C",IF(E44&lt;=64.99,"B",IF(E44&lt;=69.99,"B+",IF(E44&lt;=74.99,"A",IF(E44&lt;=79.99,"A+","O")))))))</f>
        <v>A</v>
      </c>
      <c r="G44" s="18" t="str">
        <f>IF(E44&lt;50,"0",IF(E44&lt;=54.99,"4",IF(E44&lt;=59.99,"5",IF(E44&lt;=64.99,"6",IF(E44&lt;=69.99,"7",IF(E44&lt;=74.99,"8",IF(E44&lt;=79.99,"9","10")))))))</f>
        <v>8</v>
      </c>
      <c r="H44" s="28">
        <v>4</v>
      </c>
      <c r="I44" s="29">
        <f>G44*H44</f>
        <v>32</v>
      </c>
      <c r="J44" s="16">
        <f>'[4]2nd Subject'!$C52</f>
        <v>32</v>
      </c>
      <c r="K44" s="16">
        <f>'[4]2nd Subject'!$D52</f>
        <v>39</v>
      </c>
      <c r="L44" s="27">
        <f>K44+J44</f>
        <v>71</v>
      </c>
      <c r="M44" s="18" t="str">
        <f>IF(L44&lt;50,"F",IF(L44&lt;=54.99,"P",IF(L44&lt;=59.99,"C",IF(L44&lt;=64.99,"B",IF(L44&lt;=69.99,"B+",IF(L44&lt;=74.99,"A",IF(L44&lt;=79.99,"A+","O")))))))</f>
        <v>A</v>
      </c>
      <c r="N44" s="18" t="str">
        <f>IF(L44&lt;50,"0",IF(L44&lt;=54.99,"4",IF(L44&lt;=59.99,"5",IF(L44&lt;=64.99,"6",IF(L44&lt;=69.99,"7",IF(L44&lt;=74.99,"8",IF(L44&lt;=79.99,"9","10")))))))</f>
        <v>8</v>
      </c>
      <c r="O44" s="28">
        <v>4</v>
      </c>
      <c r="P44" s="29">
        <f>N44*O44</f>
        <v>32</v>
      </c>
      <c r="Q44" s="21">
        <f>'[5]3rd Subject'!$C52</f>
        <v>32</v>
      </c>
      <c r="R44" s="21">
        <f>'[5]3rd Subject'!$D52</f>
        <v>39</v>
      </c>
      <c r="S44" s="27">
        <f>R44+Q44</f>
        <v>71</v>
      </c>
      <c r="T44" s="18" t="str">
        <f>IF(S44&lt;50,"F",IF(S44&lt;=54.99,"P",IF(S44&lt;=59.99,"C",IF(S44&lt;=64.99,"B",IF(S44&lt;=69.99,"B+",IF(S44&lt;=74.99,"A",IF(S44&lt;=79.99,"A+","O")))))))</f>
        <v>A</v>
      </c>
      <c r="U44" s="18" t="str">
        <f>IF(S44&lt;50,"0",IF(S44&lt;=54.99,"4",IF(S44&lt;=59.99,"5",IF(S44&lt;=64.99,"6",IF(S44&lt;=69.99,"7",IF(S44&lt;=74.99,"8",IF(S44&lt;=79.99,"9","10")))))))</f>
        <v>8</v>
      </c>
      <c r="V44" s="28">
        <v>4</v>
      </c>
      <c r="W44" s="29">
        <f>U44*V44</f>
        <v>32</v>
      </c>
      <c r="X44" s="22">
        <f>'[6]4th Subject'!$C52</f>
        <v>32</v>
      </c>
      <c r="Y44" s="23">
        <f>'[6]4th Subject'!$D52</f>
        <v>39</v>
      </c>
      <c r="Z44" s="27">
        <f>Y44+X44</f>
        <v>71</v>
      </c>
      <c r="AA44" s="18" t="str">
        <f>IF(Z44&lt;50,"F",IF(Z44&lt;=54.99,"P",IF(Z44&lt;=59.99,"C",IF(Z44&lt;=64.99,"B",IF(Z44&lt;=69.99,"B+",IF(Z44&lt;=74.99,"A",IF(Z44&lt;=79.99,"A+","O")))))))</f>
        <v>A</v>
      </c>
      <c r="AB44" s="18" t="str">
        <f>IF(Z44&lt;50,"0",IF(Z44&lt;=54.99,"4",IF(Z44&lt;=59.99,"5",IF(Z44&lt;=64.99,"6",IF(Z44&lt;=69.99,"7",IF(Z44&lt;=74.99,"8",IF(Z44&lt;=79.99,"9","10")))))))</f>
        <v>8</v>
      </c>
      <c r="AC44" s="28">
        <v>4</v>
      </c>
      <c r="AD44" s="29">
        <f>AB44*AC44</f>
        <v>32</v>
      </c>
      <c r="AE44" s="22">
        <f>'[7]5th Subject'!$C52</f>
        <v>32</v>
      </c>
      <c r="AF44" s="23">
        <f>'[7]5th Subject'!$D52</f>
        <v>39</v>
      </c>
      <c r="AG44" s="27">
        <f>AF44+AE44</f>
        <v>71</v>
      </c>
      <c r="AH44" s="18" t="str">
        <f>IF(AG44&lt;50,"F",IF(AG44&lt;=54.99,"P",IF(AG44&lt;=59.99,"C",IF(AG44&lt;=64.99,"B",IF(AG44&lt;=69.99,"B+",IF(AG44&lt;=74.99,"A",IF(AG44&lt;=79.99,"A+","O")))))))</f>
        <v>A</v>
      </c>
      <c r="AI44" s="18" t="str">
        <f>IF(AG44&lt;50,"0",IF(AG44&lt;=54.99,"4",IF(AG44&lt;=59.99,"5",IF(AG44&lt;=64.99,"6",IF(AG44&lt;=69.99,"7",IF(AG44&lt;=74.99,"8",IF(AG44&lt;=79.99,"9","10")))))))</f>
        <v>8</v>
      </c>
      <c r="AJ44" s="28">
        <v>4</v>
      </c>
      <c r="AK44" s="29">
        <f>AI44*AJ44</f>
        <v>32</v>
      </c>
      <c r="AL44" s="22">
        <f>'[8]6th Subject'!$C52</f>
        <v>32</v>
      </c>
      <c r="AM44" s="22">
        <f>'[8]6th Subject'!$D52</f>
        <v>39</v>
      </c>
      <c r="AN44" s="27">
        <f>AM44+AL44</f>
        <v>71</v>
      </c>
      <c r="AO44" s="18" t="str">
        <f>IF(AN44&lt;50,"F",IF(AN44&lt;=54.99,"P",IF(AN44&lt;=59.99,"C",IF(AN44&lt;=64.99,"B",IF(AN44&lt;=69.99,"B+",IF(AN44&lt;=74.99,"A",IF(AN44&lt;=79.99,"A+","O")))))))</f>
        <v>A</v>
      </c>
      <c r="AP44" s="18" t="str">
        <f>IF(AN44&lt;50,"0",IF(AN44&lt;=54.99,"4",IF(AN44&lt;=59.99,"5",IF(AN44&lt;=64.99,"6",IF(AN44&lt;=69.99,"7",IF(AN44&lt;=74.99,"8",IF(AN44&lt;=79.99,"9","10")))))))</f>
        <v>8</v>
      </c>
      <c r="AQ44" s="28">
        <v>4</v>
      </c>
      <c r="AR44" s="29">
        <f>AP44*AQ44</f>
        <v>32</v>
      </c>
      <c r="AS44" s="16">
        <f>'[9]7th Subject'!$C52</f>
        <v>32</v>
      </c>
      <c r="AT44" s="16">
        <f>'[9]7th Subject'!$D52</f>
        <v>39</v>
      </c>
      <c r="AU44" s="27">
        <f>AT44+AS44</f>
        <v>71</v>
      </c>
      <c r="AV44" s="18" t="str">
        <f>IF(AU44&lt;50,"F",IF(AU44&lt;=54.99,"P",IF(AU44&lt;=59.99,"C",IF(AU44&lt;=64.99,"B",IF(AU44&lt;=69.99,"B+",IF(AU44&lt;=74.99,"A",IF(AU44&lt;=79.99,"A+","O")))))))</f>
        <v>A</v>
      </c>
      <c r="AW44" s="18" t="str">
        <f>IF(AU44&lt;50,"0",IF(AU44&lt;=54.99,"4",IF(AU44&lt;=59.99,"5",IF(AU44&lt;=64.99,"6",IF(AU44&lt;=69.99,"7",IF(AU44&lt;=74.99,"8",IF(AU44&lt;=79.99,"9","10")))))))</f>
        <v>8</v>
      </c>
      <c r="AX44" s="28">
        <v>4</v>
      </c>
      <c r="AY44" s="29">
        <f>AW44*AX44</f>
        <v>32</v>
      </c>
      <c r="AZ44" s="22">
        <f>'[10]8th Subject'!$C52</f>
        <v>32</v>
      </c>
      <c r="BA44" s="22">
        <f>'[10]8th Subject'!$D52</f>
        <v>39</v>
      </c>
      <c r="BB44" s="27">
        <f>BA44+AZ44</f>
        <v>71</v>
      </c>
      <c r="BC44" s="18" t="str">
        <f>IF(BB44&lt;50,"F",IF(BB44&lt;=54.99,"P",IF(BB44&lt;=59.99,"C",IF(BB44&lt;=64.99,"B",IF(BB44&lt;=69.99,"B+",IF(BB44&lt;=74.99,"A",IF(BB44&lt;=79.99,"A+","O")))))))</f>
        <v>A</v>
      </c>
      <c r="BD44" s="18" t="str">
        <f>IF(BB44&lt;50,"0",IF(BB44&lt;=54.99,"4",IF(BB44&lt;=59.99,"5",IF(BB44&lt;=64.99,"6",IF(BB44&lt;=69.99,"7",IF(BB44&lt;=74.99,"8",IF(BB44&lt;=79.99,"9","10")))))))</f>
        <v>8</v>
      </c>
      <c r="BE44" s="28">
        <v>4</v>
      </c>
      <c r="BF44" s="29">
        <f>BD44*BE44</f>
        <v>32</v>
      </c>
      <c r="BG44" s="27">
        <f>AZ44+AS44+AE44+X44+J44+C44+Q44+AL44</f>
        <v>256</v>
      </c>
      <c r="BH44" s="27">
        <f>BA44+AT44+AF44+Y44+K44+D44+R44+AM44</f>
        <v>312</v>
      </c>
      <c r="BI44" s="27">
        <f>BH44+BG44</f>
        <v>568</v>
      </c>
      <c r="BJ44" s="30">
        <f>G44+N44+U44+AB44+AI44+AP44+BD44+AW44</f>
        <v>64</v>
      </c>
      <c r="BK44" s="30">
        <f>I44+P44+W44+AD44+AK44+AY44+BF44+AR44</f>
        <v>256</v>
      </c>
      <c r="BL44" s="25">
        <f>(BN44-0.75)*10</f>
        <v>72.5</v>
      </c>
      <c r="BM44" s="17" t="str">
        <f>IF(OR(C44&lt;20,D44&lt;30,J44&lt;20,K44&lt;30,Q44&lt;20,R44&lt;30,X44&lt;20,Y44&lt;30,AE44&lt;20,AF44&lt;30,AL44&lt;20,AM44&lt;30,AS44&lt;20,AT44&lt;30,AZ44&lt;20,BA44&lt;30),"Unsuccessful","Successful")</f>
        <v>Successful</v>
      </c>
      <c r="BN44" s="31">
        <f>BK44/32</f>
        <v>8</v>
      </c>
      <c r="BO44" s="18" t="str">
        <f>IF(BN44&lt;=4,"F",IF(BN44&lt;=4.5,"P",IF(BN44&lt;=5.5,"C",IF(BN44&lt;=6.5,"B",IF(BN44&lt;=7.5,"B+",IF(BN44&lt;=8.5,"A",IF(BN44&lt;=9.5,"A+","O")))))))</f>
        <v>A</v>
      </c>
      <c r="BP44" s="14" t="str">
        <f>IF(BN44&lt;=4,"50",IF(BN44&lt;=4.5,"50-54.99",IF(BN44&lt;=5.5,"55-59.99",IF(BN44&lt;=6.5,"60-64.99",IF(BN44&lt;=7.5,"65-69.99",IF(BN44&lt;=8.5,"70-74.99",IF(BN44&lt;=9.5,"75-79.99","10")))))))</f>
        <v>70-74.99</v>
      </c>
      <c r="BS44">
        <f>RANK(BN44,$BN$3:$BN$135)</f>
        <v>24</v>
      </c>
    </row>
    <row r="45" spans="1:71" x14ac:dyDescent="0.25">
      <c r="A45" s="14" t="str">
        <f>[2]Sheet1!$A52</f>
        <v>MMS18-20/051</v>
      </c>
      <c r="B45" s="15" t="str">
        <f>[2]Sheet1!$B52</f>
        <v>/MARCHANDE SHWETA SHANTARAM SHEETAL</v>
      </c>
      <c r="C45" s="16">
        <f>'[3]1st Subject'!$C53</f>
        <v>30</v>
      </c>
      <c r="D45" s="16">
        <f>'[3]1st Subject'!$D53</f>
        <v>41</v>
      </c>
      <c r="E45" s="27">
        <f>D45+C45</f>
        <v>71</v>
      </c>
      <c r="F45" s="18" t="str">
        <f>IF(E45&lt;50,"F",IF(E45&lt;=54.99,"P",IF(E45&lt;=59.99,"C",IF(E45&lt;=64.99,"B",IF(E45&lt;=69.99,"B+",IF(E45&lt;=74.99,"A",IF(E45&lt;=79.99,"A+","O")))))))</f>
        <v>A</v>
      </c>
      <c r="G45" s="18" t="str">
        <f>IF(E45&lt;50,"0",IF(E45&lt;=54.99,"4",IF(E45&lt;=59.99,"5",IF(E45&lt;=64.99,"6",IF(E45&lt;=69.99,"7",IF(E45&lt;=74.99,"8",IF(E45&lt;=79.99,"9","10")))))))</f>
        <v>8</v>
      </c>
      <c r="H45" s="28">
        <v>4</v>
      </c>
      <c r="I45" s="29">
        <f>G45*H45</f>
        <v>32</v>
      </c>
      <c r="J45" s="16">
        <f>'[4]2nd Subject'!$C53</f>
        <v>30</v>
      </c>
      <c r="K45" s="16">
        <f>'[4]2nd Subject'!$D53</f>
        <v>41</v>
      </c>
      <c r="L45" s="27">
        <f>K45+J45</f>
        <v>71</v>
      </c>
      <c r="M45" s="18" t="str">
        <f>IF(L45&lt;50,"F",IF(L45&lt;=54.99,"P",IF(L45&lt;=59.99,"C",IF(L45&lt;=64.99,"B",IF(L45&lt;=69.99,"B+",IF(L45&lt;=74.99,"A",IF(L45&lt;=79.99,"A+","O")))))))</f>
        <v>A</v>
      </c>
      <c r="N45" s="18" t="str">
        <f>IF(L45&lt;50,"0",IF(L45&lt;=54.99,"4",IF(L45&lt;=59.99,"5",IF(L45&lt;=64.99,"6",IF(L45&lt;=69.99,"7",IF(L45&lt;=74.99,"8",IF(L45&lt;=79.99,"9","10")))))))</f>
        <v>8</v>
      </c>
      <c r="O45" s="28">
        <v>4</v>
      </c>
      <c r="P45" s="29">
        <f>N45*O45</f>
        <v>32</v>
      </c>
      <c r="Q45" s="21">
        <f>'[5]3rd Subject'!$C53</f>
        <v>30</v>
      </c>
      <c r="R45" s="21">
        <f>'[5]3rd Subject'!$D53</f>
        <v>41</v>
      </c>
      <c r="S45" s="27">
        <f>R45+Q45</f>
        <v>71</v>
      </c>
      <c r="T45" s="18" t="str">
        <f>IF(S45&lt;50,"F",IF(S45&lt;=54.99,"P",IF(S45&lt;=59.99,"C",IF(S45&lt;=64.99,"B",IF(S45&lt;=69.99,"B+",IF(S45&lt;=74.99,"A",IF(S45&lt;=79.99,"A+","O")))))))</f>
        <v>A</v>
      </c>
      <c r="U45" s="18" t="str">
        <f>IF(S45&lt;50,"0",IF(S45&lt;=54.99,"4",IF(S45&lt;=59.99,"5",IF(S45&lt;=64.99,"6",IF(S45&lt;=69.99,"7",IF(S45&lt;=74.99,"8",IF(S45&lt;=79.99,"9","10")))))))</f>
        <v>8</v>
      </c>
      <c r="V45" s="28">
        <v>4</v>
      </c>
      <c r="W45" s="29">
        <f>U45*V45</f>
        <v>32</v>
      </c>
      <c r="X45" s="22">
        <f>'[6]4th Subject'!$C53</f>
        <v>30</v>
      </c>
      <c r="Y45" s="23">
        <f>'[6]4th Subject'!$D53</f>
        <v>41</v>
      </c>
      <c r="Z45" s="27">
        <f>Y45+X45</f>
        <v>71</v>
      </c>
      <c r="AA45" s="18" t="str">
        <f>IF(Z45&lt;50,"F",IF(Z45&lt;=54.99,"P",IF(Z45&lt;=59.99,"C",IF(Z45&lt;=64.99,"B",IF(Z45&lt;=69.99,"B+",IF(Z45&lt;=74.99,"A",IF(Z45&lt;=79.99,"A+","O")))))))</f>
        <v>A</v>
      </c>
      <c r="AB45" s="18" t="str">
        <f>IF(Z45&lt;50,"0",IF(Z45&lt;=54.99,"4",IF(Z45&lt;=59.99,"5",IF(Z45&lt;=64.99,"6",IF(Z45&lt;=69.99,"7",IF(Z45&lt;=74.99,"8",IF(Z45&lt;=79.99,"9","10")))))))</f>
        <v>8</v>
      </c>
      <c r="AC45" s="28">
        <v>4</v>
      </c>
      <c r="AD45" s="29">
        <f>AB45*AC45</f>
        <v>32</v>
      </c>
      <c r="AE45" s="22">
        <f>'[7]5th Subject'!$C53</f>
        <v>30</v>
      </c>
      <c r="AF45" s="23">
        <f>'[7]5th Subject'!$D53</f>
        <v>41</v>
      </c>
      <c r="AG45" s="27">
        <f>AF45+AE45</f>
        <v>71</v>
      </c>
      <c r="AH45" s="18" t="str">
        <f>IF(AG45&lt;50,"F",IF(AG45&lt;=54.99,"P",IF(AG45&lt;=59.99,"C",IF(AG45&lt;=64.99,"B",IF(AG45&lt;=69.99,"B+",IF(AG45&lt;=74.99,"A",IF(AG45&lt;=79.99,"A+","O")))))))</f>
        <v>A</v>
      </c>
      <c r="AI45" s="18" t="str">
        <f>IF(AG45&lt;50,"0",IF(AG45&lt;=54.99,"4",IF(AG45&lt;=59.99,"5",IF(AG45&lt;=64.99,"6",IF(AG45&lt;=69.99,"7",IF(AG45&lt;=74.99,"8",IF(AG45&lt;=79.99,"9","10")))))))</f>
        <v>8</v>
      </c>
      <c r="AJ45" s="28">
        <v>4</v>
      </c>
      <c r="AK45" s="29">
        <f>AI45*AJ45</f>
        <v>32</v>
      </c>
      <c r="AL45" s="22">
        <f>'[8]6th Subject'!$C53</f>
        <v>30</v>
      </c>
      <c r="AM45" s="22">
        <f>'[8]6th Subject'!$D53</f>
        <v>41</v>
      </c>
      <c r="AN45" s="27">
        <f>AM45+AL45</f>
        <v>71</v>
      </c>
      <c r="AO45" s="18" t="str">
        <f>IF(AN45&lt;50,"F",IF(AN45&lt;=54.99,"P",IF(AN45&lt;=59.99,"C",IF(AN45&lt;=64.99,"B",IF(AN45&lt;=69.99,"B+",IF(AN45&lt;=74.99,"A",IF(AN45&lt;=79.99,"A+","O")))))))</f>
        <v>A</v>
      </c>
      <c r="AP45" s="18" t="str">
        <f>IF(AN45&lt;50,"0",IF(AN45&lt;=54.99,"4",IF(AN45&lt;=59.99,"5",IF(AN45&lt;=64.99,"6",IF(AN45&lt;=69.99,"7",IF(AN45&lt;=74.99,"8",IF(AN45&lt;=79.99,"9","10")))))))</f>
        <v>8</v>
      </c>
      <c r="AQ45" s="28">
        <v>4</v>
      </c>
      <c r="AR45" s="29">
        <f>AP45*AQ45</f>
        <v>32</v>
      </c>
      <c r="AS45" s="16">
        <f>'[9]7th Subject'!$C53</f>
        <v>30</v>
      </c>
      <c r="AT45" s="16">
        <f>'[9]7th Subject'!$D53</f>
        <v>41</v>
      </c>
      <c r="AU45" s="27">
        <f>AT45+AS45</f>
        <v>71</v>
      </c>
      <c r="AV45" s="18" t="str">
        <f>IF(AU45&lt;50,"F",IF(AU45&lt;=54.99,"P",IF(AU45&lt;=59.99,"C",IF(AU45&lt;=64.99,"B",IF(AU45&lt;=69.99,"B+",IF(AU45&lt;=74.99,"A",IF(AU45&lt;=79.99,"A+","O")))))))</f>
        <v>A</v>
      </c>
      <c r="AW45" s="18" t="str">
        <f>IF(AU45&lt;50,"0",IF(AU45&lt;=54.99,"4",IF(AU45&lt;=59.99,"5",IF(AU45&lt;=64.99,"6",IF(AU45&lt;=69.99,"7",IF(AU45&lt;=74.99,"8",IF(AU45&lt;=79.99,"9","10")))))))</f>
        <v>8</v>
      </c>
      <c r="AX45" s="28">
        <v>4</v>
      </c>
      <c r="AY45" s="29">
        <f>AW45*AX45</f>
        <v>32</v>
      </c>
      <c r="AZ45" s="22">
        <f>'[10]8th Subject'!$C53</f>
        <v>30</v>
      </c>
      <c r="BA45" s="22">
        <f>'[10]8th Subject'!$D53</f>
        <v>41</v>
      </c>
      <c r="BB45" s="27">
        <f>BA45+AZ45</f>
        <v>71</v>
      </c>
      <c r="BC45" s="18" t="str">
        <f>IF(BB45&lt;50,"F",IF(BB45&lt;=54.99,"P",IF(BB45&lt;=59.99,"C",IF(BB45&lt;=64.99,"B",IF(BB45&lt;=69.99,"B+",IF(BB45&lt;=74.99,"A",IF(BB45&lt;=79.99,"A+","O")))))))</f>
        <v>A</v>
      </c>
      <c r="BD45" s="18" t="str">
        <f>IF(BB45&lt;50,"0",IF(BB45&lt;=54.99,"4",IF(BB45&lt;=59.99,"5",IF(BB45&lt;=64.99,"6",IF(BB45&lt;=69.99,"7",IF(BB45&lt;=74.99,"8",IF(BB45&lt;=79.99,"9","10")))))))</f>
        <v>8</v>
      </c>
      <c r="BE45" s="28">
        <v>4</v>
      </c>
      <c r="BF45" s="29">
        <f>BD45*BE45</f>
        <v>32</v>
      </c>
      <c r="BG45" s="27">
        <f>AZ45+AS45+AE45+X45+J45+C45+Q45+AL45</f>
        <v>240</v>
      </c>
      <c r="BH45" s="27">
        <f>BA45+AT45+AF45+Y45+K45+D45+R45+AM45</f>
        <v>328</v>
      </c>
      <c r="BI45" s="27">
        <f>BH45+BG45</f>
        <v>568</v>
      </c>
      <c r="BJ45" s="30">
        <f>G45+N45+U45+AB45+AI45+AP45+BD45+AW45</f>
        <v>64</v>
      </c>
      <c r="BK45" s="30">
        <f>I45+P45+W45+AD45+AK45+AY45+BF45+AR45</f>
        <v>256</v>
      </c>
      <c r="BL45" s="25">
        <f>(BN45-0.75)*10</f>
        <v>72.5</v>
      </c>
      <c r="BM45" s="17" t="str">
        <f>IF(OR(C45&lt;20,D45&lt;30,J45&lt;20,K45&lt;30,Q45&lt;20,R45&lt;30,X45&lt;20,Y45&lt;30,AE45&lt;20,AF45&lt;30,AL45&lt;20,AM45&lt;30,AS45&lt;20,AT45&lt;30,AZ45&lt;20,BA45&lt;30),"Unsuccessful","Successful")</f>
        <v>Successful</v>
      </c>
      <c r="BN45" s="31">
        <f>BK45/32</f>
        <v>8</v>
      </c>
      <c r="BO45" s="18" t="str">
        <f>IF(BN45&lt;=4,"F",IF(BN45&lt;=4.5,"P",IF(BN45&lt;=5.5,"C",IF(BN45&lt;=6.5,"B",IF(BN45&lt;=7.5,"B+",IF(BN45&lt;=8.5,"A",IF(BN45&lt;=9.5,"A+","O")))))))</f>
        <v>A</v>
      </c>
      <c r="BP45" s="14" t="str">
        <f>IF(BN45&lt;=4,"50",IF(BN45&lt;=4.5,"50-54.99",IF(BN45&lt;=5.5,"55-59.99",IF(BN45&lt;=6.5,"60-64.99",IF(BN45&lt;=7.5,"65-69.99",IF(BN45&lt;=8.5,"70-74.99",IF(BN45&lt;=9.5,"75-79.99","10")))))))</f>
        <v>70-74.99</v>
      </c>
      <c r="BS45">
        <f>RANK(BN45,$BN$3:$BN$135)</f>
        <v>24</v>
      </c>
    </row>
    <row r="46" spans="1:71" x14ac:dyDescent="0.25">
      <c r="A46" s="14" t="str">
        <f>[2]Sheet1!$A62</f>
        <v>MMS18-20/061</v>
      </c>
      <c r="B46" s="15" t="str">
        <f>[2]Sheet1!$B62</f>
        <v>AGATE AKASH PRAKASH KIRAN</v>
      </c>
      <c r="C46" s="16">
        <f>'[3]1st Subject'!$C63</f>
        <v>32</v>
      </c>
      <c r="D46" s="16">
        <f>'[3]1st Subject'!$D63</f>
        <v>39</v>
      </c>
      <c r="E46" s="27">
        <f>D46+C46</f>
        <v>71</v>
      </c>
      <c r="F46" s="18" t="str">
        <f>IF(E46&lt;50,"F",IF(E46&lt;=54.99,"P",IF(E46&lt;=59.99,"C",IF(E46&lt;=64.99,"B",IF(E46&lt;=69.99,"B+",IF(E46&lt;=74.99,"A",IF(E46&lt;=79.99,"A+","O")))))))</f>
        <v>A</v>
      </c>
      <c r="G46" s="18" t="str">
        <f>IF(E46&lt;50,"0",IF(E46&lt;=54.99,"4",IF(E46&lt;=59.99,"5",IF(E46&lt;=64.99,"6",IF(E46&lt;=69.99,"7",IF(E46&lt;=74.99,"8",IF(E46&lt;=79.99,"9","10")))))))</f>
        <v>8</v>
      </c>
      <c r="H46" s="28">
        <v>4</v>
      </c>
      <c r="I46" s="29">
        <f>G46*H46</f>
        <v>32</v>
      </c>
      <c r="J46" s="16">
        <f>'[4]2nd Subject'!$C63</f>
        <v>32</v>
      </c>
      <c r="K46" s="16">
        <f>'[4]2nd Subject'!$D63</f>
        <v>39</v>
      </c>
      <c r="L46" s="27">
        <f>K46+J46</f>
        <v>71</v>
      </c>
      <c r="M46" s="18" t="str">
        <f>IF(L46&lt;50,"F",IF(L46&lt;=54.99,"P",IF(L46&lt;=59.99,"C",IF(L46&lt;=64.99,"B",IF(L46&lt;=69.99,"B+",IF(L46&lt;=74.99,"A",IF(L46&lt;=79.99,"A+","O")))))))</f>
        <v>A</v>
      </c>
      <c r="N46" s="18" t="str">
        <f>IF(L46&lt;50,"0",IF(L46&lt;=54.99,"4",IF(L46&lt;=59.99,"5",IF(L46&lt;=64.99,"6",IF(L46&lt;=69.99,"7",IF(L46&lt;=74.99,"8",IF(L46&lt;=79.99,"9","10")))))))</f>
        <v>8</v>
      </c>
      <c r="O46" s="28">
        <v>4</v>
      </c>
      <c r="P46" s="29">
        <f>N46*O46</f>
        <v>32</v>
      </c>
      <c r="Q46" s="21">
        <f>'[5]3rd Subject'!$C63</f>
        <v>32</v>
      </c>
      <c r="R46" s="21">
        <f>'[5]3rd Subject'!$D63</f>
        <v>39</v>
      </c>
      <c r="S46" s="27">
        <f>R46+Q46</f>
        <v>71</v>
      </c>
      <c r="T46" s="18" t="str">
        <f>IF(S46&lt;50,"F",IF(S46&lt;=54.99,"P",IF(S46&lt;=59.99,"C",IF(S46&lt;=64.99,"B",IF(S46&lt;=69.99,"B+",IF(S46&lt;=74.99,"A",IF(S46&lt;=79.99,"A+","O")))))))</f>
        <v>A</v>
      </c>
      <c r="U46" s="18" t="str">
        <f>IF(S46&lt;50,"0",IF(S46&lt;=54.99,"4",IF(S46&lt;=59.99,"5",IF(S46&lt;=64.99,"6",IF(S46&lt;=69.99,"7",IF(S46&lt;=74.99,"8",IF(S46&lt;=79.99,"9","10")))))))</f>
        <v>8</v>
      </c>
      <c r="V46" s="28">
        <v>4</v>
      </c>
      <c r="W46" s="29">
        <f>U46*V46</f>
        <v>32</v>
      </c>
      <c r="X46" s="22">
        <f>'[6]4th Subject'!$C63</f>
        <v>32</v>
      </c>
      <c r="Y46" s="23">
        <f>'[6]4th Subject'!$D63</f>
        <v>39</v>
      </c>
      <c r="Z46" s="27">
        <f>Y46+X46</f>
        <v>71</v>
      </c>
      <c r="AA46" s="18" t="str">
        <f>IF(Z46&lt;50,"F",IF(Z46&lt;=54.99,"P",IF(Z46&lt;=59.99,"C",IF(Z46&lt;=64.99,"B",IF(Z46&lt;=69.99,"B+",IF(Z46&lt;=74.99,"A",IF(Z46&lt;=79.99,"A+","O")))))))</f>
        <v>A</v>
      </c>
      <c r="AB46" s="18" t="str">
        <f>IF(Z46&lt;50,"0",IF(Z46&lt;=54.99,"4",IF(Z46&lt;=59.99,"5",IF(Z46&lt;=64.99,"6",IF(Z46&lt;=69.99,"7",IF(Z46&lt;=74.99,"8",IF(Z46&lt;=79.99,"9","10")))))))</f>
        <v>8</v>
      </c>
      <c r="AC46" s="28">
        <v>4</v>
      </c>
      <c r="AD46" s="29">
        <f>AB46*AC46</f>
        <v>32</v>
      </c>
      <c r="AE46" s="22">
        <f>'[7]5th Subject'!$C63</f>
        <v>32</v>
      </c>
      <c r="AF46" s="23">
        <f>'[7]5th Subject'!$D63</f>
        <v>39</v>
      </c>
      <c r="AG46" s="27">
        <f>AF46+AE46</f>
        <v>71</v>
      </c>
      <c r="AH46" s="18" t="str">
        <f>IF(AG46&lt;50,"F",IF(AG46&lt;=54.99,"P",IF(AG46&lt;=59.99,"C",IF(AG46&lt;=64.99,"B",IF(AG46&lt;=69.99,"B+",IF(AG46&lt;=74.99,"A",IF(AG46&lt;=79.99,"A+","O")))))))</f>
        <v>A</v>
      </c>
      <c r="AI46" s="18" t="str">
        <f>IF(AG46&lt;50,"0",IF(AG46&lt;=54.99,"4",IF(AG46&lt;=59.99,"5",IF(AG46&lt;=64.99,"6",IF(AG46&lt;=69.99,"7",IF(AG46&lt;=74.99,"8",IF(AG46&lt;=79.99,"9","10")))))))</f>
        <v>8</v>
      </c>
      <c r="AJ46" s="28">
        <v>4</v>
      </c>
      <c r="AK46" s="29">
        <f>AI46*AJ46</f>
        <v>32</v>
      </c>
      <c r="AL46" s="22">
        <f>'[8]6th Subject'!$C63</f>
        <v>32</v>
      </c>
      <c r="AM46" s="22">
        <f>'[8]6th Subject'!$D63</f>
        <v>39</v>
      </c>
      <c r="AN46" s="27">
        <f>AM46+AL46</f>
        <v>71</v>
      </c>
      <c r="AO46" s="18" t="str">
        <f>IF(AN46&lt;50,"F",IF(AN46&lt;=54.99,"P",IF(AN46&lt;=59.99,"C",IF(AN46&lt;=64.99,"B",IF(AN46&lt;=69.99,"B+",IF(AN46&lt;=74.99,"A",IF(AN46&lt;=79.99,"A+","O")))))))</f>
        <v>A</v>
      </c>
      <c r="AP46" s="18" t="str">
        <f>IF(AN46&lt;50,"0",IF(AN46&lt;=54.99,"4",IF(AN46&lt;=59.99,"5",IF(AN46&lt;=64.99,"6",IF(AN46&lt;=69.99,"7",IF(AN46&lt;=74.99,"8",IF(AN46&lt;=79.99,"9","10")))))))</f>
        <v>8</v>
      </c>
      <c r="AQ46" s="28">
        <v>4</v>
      </c>
      <c r="AR46" s="29">
        <f>AP46*AQ46</f>
        <v>32</v>
      </c>
      <c r="AS46" s="16">
        <f>'[9]7th Subject'!$C63</f>
        <v>32</v>
      </c>
      <c r="AT46" s="16">
        <f>'[9]7th Subject'!$D63</f>
        <v>39</v>
      </c>
      <c r="AU46" s="27">
        <f>AT46+AS46</f>
        <v>71</v>
      </c>
      <c r="AV46" s="18" t="str">
        <f>IF(AU46&lt;50,"F",IF(AU46&lt;=54.99,"P",IF(AU46&lt;=59.99,"C",IF(AU46&lt;=64.99,"B",IF(AU46&lt;=69.99,"B+",IF(AU46&lt;=74.99,"A",IF(AU46&lt;=79.99,"A+","O")))))))</f>
        <v>A</v>
      </c>
      <c r="AW46" s="18" t="str">
        <f>IF(AU46&lt;50,"0",IF(AU46&lt;=54.99,"4",IF(AU46&lt;=59.99,"5",IF(AU46&lt;=64.99,"6",IF(AU46&lt;=69.99,"7",IF(AU46&lt;=74.99,"8",IF(AU46&lt;=79.99,"9","10")))))))</f>
        <v>8</v>
      </c>
      <c r="AX46" s="28">
        <v>4</v>
      </c>
      <c r="AY46" s="29">
        <f>AW46*AX46</f>
        <v>32</v>
      </c>
      <c r="AZ46" s="22">
        <f>'[10]8th Subject'!$C63</f>
        <v>32</v>
      </c>
      <c r="BA46" s="22">
        <f>'[10]8th Subject'!$D63</f>
        <v>39</v>
      </c>
      <c r="BB46" s="27">
        <f>BA46+AZ46</f>
        <v>71</v>
      </c>
      <c r="BC46" s="18" t="str">
        <f>IF(BB46&lt;50,"F",IF(BB46&lt;=54.99,"P",IF(BB46&lt;=59.99,"C",IF(BB46&lt;=64.99,"B",IF(BB46&lt;=69.99,"B+",IF(BB46&lt;=74.99,"A",IF(BB46&lt;=79.99,"A+","O")))))))</f>
        <v>A</v>
      </c>
      <c r="BD46" s="18" t="str">
        <f>IF(BB46&lt;50,"0",IF(BB46&lt;=54.99,"4",IF(BB46&lt;=59.99,"5",IF(BB46&lt;=64.99,"6",IF(BB46&lt;=69.99,"7",IF(BB46&lt;=74.99,"8",IF(BB46&lt;=79.99,"9","10")))))))</f>
        <v>8</v>
      </c>
      <c r="BE46" s="28">
        <v>4</v>
      </c>
      <c r="BF46" s="29">
        <f>BD46*BE46</f>
        <v>32</v>
      </c>
      <c r="BG46" s="27">
        <f>AZ46+AS46+AE46+X46+J46+C46+Q46+AL46</f>
        <v>256</v>
      </c>
      <c r="BH46" s="27">
        <f>BA46+AT46+AF46+Y46+K46+D46+R46+AM46</f>
        <v>312</v>
      </c>
      <c r="BI46" s="27">
        <f>BH46+BG46</f>
        <v>568</v>
      </c>
      <c r="BJ46" s="30">
        <f>G46+N46+U46+AB46+AI46+AP46+BD46+AW46</f>
        <v>64</v>
      </c>
      <c r="BK46" s="30">
        <f>I46+P46+W46+AD46+AK46+AY46+BF46+AR46</f>
        <v>256</v>
      </c>
      <c r="BL46" s="25">
        <f>(BN46-0.75)*10</f>
        <v>72.5</v>
      </c>
      <c r="BM46" s="17" t="str">
        <f>IF(OR(C46&lt;20,D46&lt;30,J46&lt;20,K46&lt;30,Q46&lt;20,R46&lt;30,X46&lt;20,Y46&lt;30,AE46&lt;20,AF46&lt;30,AL46&lt;20,AM46&lt;30,AS46&lt;20,AT46&lt;30,AZ46&lt;20,BA46&lt;30),"Unsuccessful","Successful")</f>
        <v>Successful</v>
      </c>
      <c r="BN46" s="31">
        <f>BK46/32</f>
        <v>8</v>
      </c>
      <c r="BO46" s="18" t="str">
        <f>IF(BN46&lt;=4,"F",IF(BN46&lt;=4.5,"P",IF(BN46&lt;=5.5,"C",IF(BN46&lt;=6.5,"B",IF(BN46&lt;=7.5,"B+",IF(BN46&lt;=8.5,"A",IF(BN46&lt;=9.5,"A+","O")))))))</f>
        <v>A</v>
      </c>
      <c r="BP46" s="14" t="str">
        <f>IF(BN46&lt;=4,"50",IF(BN46&lt;=4.5,"50-54.99",IF(BN46&lt;=5.5,"55-59.99",IF(BN46&lt;=6.5,"60-64.99",IF(BN46&lt;=7.5,"65-69.99",IF(BN46&lt;=8.5,"70-74.99",IF(BN46&lt;=9.5,"75-79.99","10")))))))</f>
        <v>70-74.99</v>
      </c>
      <c r="BS46">
        <f>RANK(BN46,$BN$3:$BN$135)</f>
        <v>24</v>
      </c>
    </row>
    <row r="47" spans="1:71" x14ac:dyDescent="0.25">
      <c r="A47" s="14" t="str">
        <f>[2]Sheet1!$A63</f>
        <v>MMS18-20/062</v>
      </c>
      <c r="B47" s="15" t="str">
        <f>[2]Sheet1!$B63</f>
        <v>/AVHAD VISHAKHA MILIND RAKHI</v>
      </c>
      <c r="C47" s="16">
        <f>'[3]1st Subject'!$C64</f>
        <v>30</v>
      </c>
      <c r="D47" s="16">
        <f>'[3]1st Subject'!$D64</f>
        <v>41</v>
      </c>
      <c r="E47" s="27">
        <f>D47+C47</f>
        <v>71</v>
      </c>
      <c r="F47" s="18" t="str">
        <f>IF(E47&lt;50,"F",IF(E47&lt;=54.99,"P",IF(E47&lt;=59.99,"C",IF(E47&lt;=64.99,"B",IF(E47&lt;=69.99,"B+",IF(E47&lt;=74.99,"A",IF(E47&lt;=79.99,"A+","O")))))))</f>
        <v>A</v>
      </c>
      <c r="G47" s="18" t="str">
        <f>IF(E47&lt;50,"0",IF(E47&lt;=54.99,"4",IF(E47&lt;=59.99,"5",IF(E47&lt;=64.99,"6",IF(E47&lt;=69.99,"7",IF(E47&lt;=74.99,"8",IF(E47&lt;=79.99,"9","10")))))))</f>
        <v>8</v>
      </c>
      <c r="H47" s="28">
        <v>4</v>
      </c>
      <c r="I47" s="29">
        <f>G47*H47</f>
        <v>32</v>
      </c>
      <c r="J47" s="16">
        <f>'[4]2nd Subject'!$C64</f>
        <v>30</v>
      </c>
      <c r="K47" s="16">
        <f>'[4]2nd Subject'!$D64</f>
        <v>41</v>
      </c>
      <c r="L47" s="27">
        <f>K47+J47</f>
        <v>71</v>
      </c>
      <c r="M47" s="18" t="str">
        <f>IF(L47&lt;50,"F",IF(L47&lt;=54.99,"P",IF(L47&lt;=59.99,"C",IF(L47&lt;=64.99,"B",IF(L47&lt;=69.99,"B+",IF(L47&lt;=74.99,"A",IF(L47&lt;=79.99,"A+","O")))))))</f>
        <v>A</v>
      </c>
      <c r="N47" s="18" t="str">
        <f>IF(L47&lt;50,"0",IF(L47&lt;=54.99,"4",IF(L47&lt;=59.99,"5",IF(L47&lt;=64.99,"6",IF(L47&lt;=69.99,"7",IF(L47&lt;=74.99,"8",IF(L47&lt;=79.99,"9","10")))))))</f>
        <v>8</v>
      </c>
      <c r="O47" s="28">
        <v>4</v>
      </c>
      <c r="P47" s="29">
        <f>N47*O47</f>
        <v>32</v>
      </c>
      <c r="Q47" s="21">
        <f>'[5]3rd Subject'!$C64</f>
        <v>30</v>
      </c>
      <c r="R47" s="21">
        <f>'[5]3rd Subject'!$D64</f>
        <v>41</v>
      </c>
      <c r="S47" s="27">
        <f>R47+Q47</f>
        <v>71</v>
      </c>
      <c r="T47" s="18" t="str">
        <f>IF(S47&lt;50,"F",IF(S47&lt;=54.99,"P",IF(S47&lt;=59.99,"C",IF(S47&lt;=64.99,"B",IF(S47&lt;=69.99,"B+",IF(S47&lt;=74.99,"A",IF(S47&lt;=79.99,"A+","O")))))))</f>
        <v>A</v>
      </c>
      <c r="U47" s="18" t="str">
        <f>IF(S47&lt;50,"0",IF(S47&lt;=54.99,"4",IF(S47&lt;=59.99,"5",IF(S47&lt;=64.99,"6",IF(S47&lt;=69.99,"7",IF(S47&lt;=74.99,"8",IF(S47&lt;=79.99,"9","10")))))))</f>
        <v>8</v>
      </c>
      <c r="V47" s="28">
        <v>4</v>
      </c>
      <c r="W47" s="29">
        <f>U47*V47</f>
        <v>32</v>
      </c>
      <c r="X47" s="22">
        <f>'[6]4th Subject'!$C64</f>
        <v>30</v>
      </c>
      <c r="Y47" s="23">
        <f>'[6]4th Subject'!$D64</f>
        <v>41</v>
      </c>
      <c r="Z47" s="27">
        <f>Y47+X47</f>
        <v>71</v>
      </c>
      <c r="AA47" s="18" t="str">
        <f>IF(Z47&lt;50,"F",IF(Z47&lt;=54.99,"P",IF(Z47&lt;=59.99,"C",IF(Z47&lt;=64.99,"B",IF(Z47&lt;=69.99,"B+",IF(Z47&lt;=74.99,"A",IF(Z47&lt;=79.99,"A+","O")))))))</f>
        <v>A</v>
      </c>
      <c r="AB47" s="18" t="str">
        <f>IF(Z47&lt;50,"0",IF(Z47&lt;=54.99,"4",IF(Z47&lt;=59.99,"5",IF(Z47&lt;=64.99,"6",IF(Z47&lt;=69.99,"7",IF(Z47&lt;=74.99,"8",IF(Z47&lt;=79.99,"9","10")))))))</f>
        <v>8</v>
      </c>
      <c r="AC47" s="28">
        <v>4</v>
      </c>
      <c r="AD47" s="29">
        <f>AB47*AC47</f>
        <v>32</v>
      </c>
      <c r="AE47" s="22">
        <f>'[7]5th Subject'!$C64</f>
        <v>30</v>
      </c>
      <c r="AF47" s="23">
        <f>'[7]5th Subject'!$D64</f>
        <v>41</v>
      </c>
      <c r="AG47" s="27">
        <f>AF47+AE47</f>
        <v>71</v>
      </c>
      <c r="AH47" s="18" t="str">
        <f>IF(AG47&lt;50,"F",IF(AG47&lt;=54.99,"P",IF(AG47&lt;=59.99,"C",IF(AG47&lt;=64.99,"B",IF(AG47&lt;=69.99,"B+",IF(AG47&lt;=74.99,"A",IF(AG47&lt;=79.99,"A+","O")))))))</f>
        <v>A</v>
      </c>
      <c r="AI47" s="18" t="str">
        <f>IF(AG47&lt;50,"0",IF(AG47&lt;=54.99,"4",IF(AG47&lt;=59.99,"5",IF(AG47&lt;=64.99,"6",IF(AG47&lt;=69.99,"7",IF(AG47&lt;=74.99,"8",IF(AG47&lt;=79.99,"9","10")))))))</f>
        <v>8</v>
      </c>
      <c r="AJ47" s="28">
        <v>4</v>
      </c>
      <c r="AK47" s="29">
        <f>AI47*AJ47</f>
        <v>32</v>
      </c>
      <c r="AL47" s="22">
        <f>'[8]6th Subject'!$C64</f>
        <v>30</v>
      </c>
      <c r="AM47" s="22">
        <f>'[8]6th Subject'!$D64</f>
        <v>41</v>
      </c>
      <c r="AN47" s="27">
        <f>AM47+AL47</f>
        <v>71</v>
      </c>
      <c r="AO47" s="18" t="str">
        <f>IF(AN47&lt;50,"F",IF(AN47&lt;=54.99,"P",IF(AN47&lt;=59.99,"C",IF(AN47&lt;=64.99,"B",IF(AN47&lt;=69.99,"B+",IF(AN47&lt;=74.99,"A",IF(AN47&lt;=79.99,"A+","O")))))))</f>
        <v>A</v>
      </c>
      <c r="AP47" s="18" t="str">
        <f>IF(AN47&lt;50,"0",IF(AN47&lt;=54.99,"4",IF(AN47&lt;=59.99,"5",IF(AN47&lt;=64.99,"6",IF(AN47&lt;=69.99,"7",IF(AN47&lt;=74.99,"8",IF(AN47&lt;=79.99,"9","10")))))))</f>
        <v>8</v>
      </c>
      <c r="AQ47" s="28">
        <v>4</v>
      </c>
      <c r="AR47" s="29">
        <f>AP47*AQ47</f>
        <v>32</v>
      </c>
      <c r="AS47" s="16">
        <f>'[9]7th Subject'!$C64</f>
        <v>30</v>
      </c>
      <c r="AT47" s="16">
        <f>'[9]7th Subject'!$D64</f>
        <v>41</v>
      </c>
      <c r="AU47" s="27">
        <f>AT47+AS47</f>
        <v>71</v>
      </c>
      <c r="AV47" s="18" t="str">
        <f>IF(AU47&lt;50,"F",IF(AU47&lt;=54.99,"P",IF(AU47&lt;=59.99,"C",IF(AU47&lt;=64.99,"B",IF(AU47&lt;=69.99,"B+",IF(AU47&lt;=74.99,"A",IF(AU47&lt;=79.99,"A+","O")))))))</f>
        <v>A</v>
      </c>
      <c r="AW47" s="18" t="str">
        <f>IF(AU47&lt;50,"0",IF(AU47&lt;=54.99,"4",IF(AU47&lt;=59.99,"5",IF(AU47&lt;=64.99,"6",IF(AU47&lt;=69.99,"7",IF(AU47&lt;=74.99,"8",IF(AU47&lt;=79.99,"9","10")))))))</f>
        <v>8</v>
      </c>
      <c r="AX47" s="28">
        <v>4</v>
      </c>
      <c r="AY47" s="29">
        <f>AW47*AX47</f>
        <v>32</v>
      </c>
      <c r="AZ47" s="22">
        <f>'[10]8th Subject'!$C64</f>
        <v>30</v>
      </c>
      <c r="BA47" s="22">
        <f>'[10]8th Subject'!$D64</f>
        <v>41</v>
      </c>
      <c r="BB47" s="27">
        <f>BA47+AZ47</f>
        <v>71</v>
      </c>
      <c r="BC47" s="18" t="str">
        <f>IF(BB47&lt;50,"F",IF(BB47&lt;=54.99,"P",IF(BB47&lt;=59.99,"C",IF(BB47&lt;=64.99,"B",IF(BB47&lt;=69.99,"B+",IF(BB47&lt;=74.99,"A",IF(BB47&lt;=79.99,"A+","O")))))))</f>
        <v>A</v>
      </c>
      <c r="BD47" s="18" t="str">
        <f>IF(BB47&lt;50,"0",IF(BB47&lt;=54.99,"4",IF(BB47&lt;=59.99,"5",IF(BB47&lt;=64.99,"6",IF(BB47&lt;=69.99,"7",IF(BB47&lt;=74.99,"8",IF(BB47&lt;=79.99,"9","10")))))))</f>
        <v>8</v>
      </c>
      <c r="BE47" s="28">
        <v>4</v>
      </c>
      <c r="BF47" s="29">
        <f>BD47*BE47</f>
        <v>32</v>
      </c>
      <c r="BG47" s="27">
        <f>AZ47+AS47+AE47+X47+J47+C47+Q47+AL47</f>
        <v>240</v>
      </c>
      <c r="BH47" s="27">
        <f>BA47+AT47+AF47+Y47+K47+D47+R47+AM47</f>
        <v>328</v>
      </c>
      <c r="BI47" s="27">
        <f>BH47+BG47</f>
        <v>568</v>
      </c>
      <c r="BJ47" s="30">
        <f>G47+N47+U47+AB47+AI47+AP47+BD47+AW47</f>
        <v>64</v>
      </c>
      <c r="BK47" s="30">
        <f>I47+P47+W47+AD47+AK47+AY47+BF47+AR47</f>
        <v>256</v>
      </c>
      <c r="BL47" s="25">
        <f>(BN47-0.75)*10</f>
        <v>72.5</v>
      </c>
      <c r="BM47" s="17" t="str">
        <f>IF(OR(C47&lt;20,D47&lt;30,J47&lt;20,K47&lt;30,Q47&lt;20,R47&lt;30,X47&lt;20,Y47&lt;30,AE47&lt;20,AF47&lt;30,AL47&lt;20,AM47&lt;30,AS47&lt;20,AT47&lt;30,AZ47&lt;20,BA47&lt;30),"Unsuccessful","Successful")</f>
        <v>Successful</v>
      </c>
      <c r="BN47" s="31">
        <f>BK47/32</f>
        <v>8</v>
      </c>
      <c r="BO47" s="18" t="str">
        <f>IF(BN47&lt;=4,"F",IF(BN47&lt;=4.5,"P",IF(BN47&lt;=5.5,"C",IF(BN47&lt;=6.5,"B",IF(BN47&lt;=7.5,"B+",IF(BN47&lt;=8.5,"A",IF(BN47&lt;=9.5,"A+","O")))))))</f>
        <v>A</v>
      </c>
      <c r="BP47" s="14" t="str">
        <f>IF(BN47&lt;=4,"50",IF(BN47&lt;=4.5,"50-54.99",IF(BN47&lt;=5.5,"55-59.99",IF(BN47&lt;=6.5,"60-64.99",IF(BN47&lt;=7.5,"65-69.99",IF(BN47&lt;=8.5,"70-74.99",IF(BN47&lt;=9.5,"75-79.99","10")))))))</f>
        <v>70-74.99</v>
      </c>
      <c r="BS47">
        <f>RANK(BN47,$BN$3:$BN$135)</f>
        <v>24</v>
      </c>
    </row>
    <row r="48" spans="1:71" x14ac:dyDescent="0.25">
      <c r="A48" s="14" t="str">
        <f>[2]Sheet1!$A73</f>
        <v>MMS18-20/072</v>
      </c>
      <c r="B48" s="15" t="str">
        <f>[2]Sheet1!$B73</f>
        <v>/KEMPU VIDYA LAXMAN SHANTAMMA</v>
      </c>
      <c r="C48" s="16">
        <f>'[3]1st Subject'!$C74</f>
        <v>32</v>
      </c>
      <c r="D48" s="16">
        <f>'[3]1st Subject'!$D74</f>
        <v>39</v>
      </c>
      <c r="E48" s="27">
        <f>D48+C48</f>
        <v>71</v>
      </c>
      <c r="F48" s="18" t="str">
        <f>IF(E48&lt;50,"F",IF(E48&lt;=54.99,"P",IF(E48&lt;=59.99,"C",IF(E48&lt;=64.99,"B",IF(E48&lt;=69.99,"B+",IF(E48&lt;=74.99,"A",IF(E48&lt;=79.99,"A+","O")))))))</f>
        <v>A</v>
      </c>
      <c r="G48" s="18" t="str">
        <f>IF(E48&lt;50,"0",IF(E48&lt;=54.99,"4",IF(E48&lt;=59.99,"5",IF(E48&lt;=64.99,"6",IF(E48&lt;=69.99,"7",IF(E48&lt;=74.99,"8",IF(E48&lt;=79.99,"9","10")))))))</f>
        <v>8</v>
      </c>
      <c r="H48" s="28">
        <v>4</v>
      </c>
      <c r="I48" s="29">
        <f>G48*H48</f>
        <v>32</v>
      </c>
      <c r="J48" s="16">
        <f>'[4]2nd Subject'!$C74</f>
        <v>32</v>
      </c>
      <c r="K48" s="16">
        <f>'[4]2nd Subject'!$D74</f>
        <v>39</v>
      </c>
      <c r="L48" s="27">
        <f>K48+J48</f>
        <v>71</v>
      </c>
      <c r="M48" s="18" t="str">
        <f>IF(L48&lt;50,"F",IF(L48&lt;=54.99,"P",IF(L48&lt;=59.99,"C",IF(L48&lt;=64.99,"B",IF(L48&lt;=69.99,"B+",IF(L48&lt;=74.99,"A",IF(L48&lt;=79.99,"A+","O")))))))</f>
        <v>A</v>
      </c>
      <c r="N48" s="18" t="str">
        <f>IF(L48&lt;50,"0",IF(L48&lt;=54.99,"4",IF(L48&lt;=59.99,"5",IF(L48&lt;=64.99,"6",IF(L48&lt;=69.99,"7",IF(L48&lt;=74.99,"8",IF(L48&lt;=79.99,"9","10")))))))</f>
        <v>8</v>
      </c>
      <c r="O48" s="28">
        <v>4</v>
      </c>
      <c r="P48" s="29">
        <f>N48*O48</f>
        <v>32</v>
      </c>
      <c r="Q48" s="21">
        <f>'[5]3rd Subject'!$C74</f>
        <v>32</v>
      </c>
      <c r="R48" s="21">
        <f>'[5]3rd Subject'!$D74</f>
        <v>39</v>
      </c>
      <c r="S48" s="27">
        <f>R48+Q48</f>
        <v>71</v>
      </c>
      <c r="T48" s="18" t="str">
        <f>IF(S48&lt;50,"F",IF(S48&lt;=54.99,"P",IF(S48&lt;=59.99,"C",IF(S48&lt;=64.99,"B",IF(S48&lt;=69.99,"B+",IF(S48&lt;=74.99,"A",IF(S48&lt;=79.99,"A+","O")))))))</f>
        <v>A</v>
      </c>
      <c r="U48" s="18" t="str">
        <f>IF(S48&lt;50,"0",IF(S48&lt;=54.99,"4",IF(S48&lt;=59.99,"5",IF(S48&lt;=64.99,"6",IF(S48&lt;=69.99,"7",IF(S48&lt;=74.99,"8",IF(S48&lt;=79.99,"9","10")))))))</f>
        <v>8</v>
      </c>
      <c r="V48" s="28">
        <v>4</v>
      </c>
      <c r="W48" s="29">
        <f>U48*V48</f>
        <v>32</v>
      </c>
      <c r="X48" s="22">
        <f>'[6]4th Subject'!$C74</f>
        <v>32</v>
      </c>
      <c r="Y48" s="23">
        <f>'[6]4th Subject'!$D74</f>
        <v>39</v>
      </c>
      <c r="Z48" s="27">
        <f>Y48+X48</f>
        <v>71</v>
      </c>
      <c r="AA48" s="18" t="str">
        <f>IF(Z48&lt;50,"F",IF(Z48&lt;=54.99,"P",IF(Z48&lt;=59.99,"C",IF(Z48&lt;=64.99,"B",IF(Z48&lt;=69.99,"B+",IF(Z48&lt;=74.99,"A",IF(Z48&lt;=79.99,"A+","O")))))))</f>
        <v>A</v>
      </c>
      <c r="AB48" s="18" t="str">
        <f>IF(Z48&lt;50,"0",IF(Z48&lt;=54.99,"4",IF(Z48&lt;=59.99,"5",IF(Z48&lt;=64.99,"6",IF(Z48&lt;=69.99,"7",IF(Z48&lt;=74.99,"8",IF(Z48&lt;=79.99,"9","10")))))))</f>
        <v>8</v>
      </c>
      <c r="AC48" s="28">
        <v>4</v>
      </c>
      <c r="AD48" s="29">
        <f>AB48*AC48</f>
        <v>32</v>
      </c>
      <c r="AE48" s="22">
        <f>'[7]5th Subject'!$C74</f>
        <v>32</v>
      </c>
      <c r="AF48" s="23">
        <f>'[7]5th Subject'!$D74</f>
        <v>39</v>
      </c>
      <c r="AG48" s="27">
        <f>AF48+AE48</f>
        <v>71</v>
      </c>
      <c r="AH48" s="18" t="str">
        <f>IF(AG48&lt;50,"F",IF(AG48&lt;=54.99,"P",IF(AG48&lt;=59.99,"C",IF(AG48&lt;=64.99,"B",IF(AG48&lt;=69.99,"B+",IF(AG48&lt;=74.99,"A",IF(AG48&lt;=79.99,"A+","O")))))))</f>
        <v>A</v>
      </c>
      <c r="AI48" s="18" t="str">
        <f>IF(AG48&lt;50,"0",IF(AG48&lt;=54.99,"4",IF(AG48&lt;=59.99,"5",IF(AG48&lt;=64.99,"6",IF(AG48&lt;=69.99,"7",IF(AG48&lt;=74.99,"8",IF(AG48&lt;=79.99,"9","10")))))))</f>
        <v>8</v>
      </c>
      <c r="AJ48" s="28">
        <v>4</v>
      </c>
      <c r="AK48" s="29">
        <f>AI48*AJ48</f>
        <v>32</v>
      </c>
      <c r="AL48" s="22">
        <f>'[8]6th Subject'!$C74</f>
        <v>32</v>
      </c>
      <c r="AM48" s="22">
        <f>'[8]6th Subject'!$D74</f>
        <v>39</v>
      </c>
      <c r="AN48" s="27">
        <f>AM48+AL48</f>
        <v>71</v>
      </c>
      <c r="AO48" s="18" t="str">
        <f>IF(AN48&lt;50,"F",IF(AN48&lt;=54.99,"P",IF(AN48&lt;=59.99,"C",IF(AN48&lt;=64.99,"B",IF(AN48&lt;=69.99,"B+",IF(AN48&lt;=74.99,"A",IF(AN48&lt;=79.99,"A+","O")))))))</f>
        <v>A</v>
      </c>
      <c r="AP48" s="18" t="str">
        <f>IF(AN48&lt;50,"0",IF(AN48&lt;=54.99,"4",IF(AN48&lt;=59.99,"5",IF(AN48&lt;=64.99,"6",IF(AN48&lt;=69.99,"7",IF(AN48&lt;=74.99,"8",IF(AN48&lt;=79.99,"9","10")))))))</f>
        <v>8</v>
      </c>
      <c r="AQ48" s="28">
        <v>4</v>
      </c>
      <c r="AR48" s="29">
        <f>AP48*AQ48</f>
        <v>32</v>
      </c>
      <c r="AS48" s="16">
        <f>'[9]7th Subject'!$C74</f>
        <v>32</v>
      </c>
      <c r="AT48" s="16">
        <f>'[9]7th Subject'!$D74</f>
        <v>39</v>
      </c>
      <c r="AU48" s="27">
        <f>AT48+AS48</f>
        <v>71</v>
      </c>
      <c r="AV48" s="18" t="str">
        <f>IF(AU48&lt;50,"F",IF(AU48&lt;=54.99,"P",IF(AU48&lt;=59.99,"C",IF(AU48&lt;=64.99,"B",IF(AU48&lt;=69.99,"B+",IF(AU48&lt;=74.99,"A",IF(AU48&lt;=79.99,"A+","O")))))))</f>
        <v>A</v>
      </c>
      <c r="AW48" s="18" t="str">
        <f>IF(AU48&lt;50,"0",IF(AU48&lt;=54.99,"4",IF(AU48&lt;=59.99,"5",IF(AU48&lt;=64.99,"6",IF(AU48&lt;=69.99,"7",IF(AU48&lt;=74.99,"8",IF(AU48&lt;=79.99,"9","10")))))))</f>
        <v>8</v>
      </c>
      <c r="AX48" s="28">
        <v>4</v>
      </c>
      <c r="AY48" s="29">
        <f>AW48*AX48</f>
        <v>32</v>
      </c>
      <c r="AZ48" s="22">
        <f>'[10]8th Subject'!$C74</f>
        <v>32</v>
      </c>
      <c r="BA48" s="22">
        <f>'[10]8th Subject'!$D74</f>
        <v>39</v>
      </c>
      <c r="BB48" s="27">
        <f>BA48+AZ48</f>
        <v>71</v>
      </c>
      <c r="BC48" s="18" t="str">
        <f>IF(BB48&lt;50,"F",IF(BB48&lt;=54.99,"P",IF(BB48&lt;=59.99,"C",IF(BB48&lt;=64.99,"B",IF(BB48&lt;=69.99,"B+",IF(BB48&lt;=74.99,"A",IF(BB48&lt;=79.99,"A+","O")))))))</f>
        <v>A</v>
      </c>
      <c r="BD48" s="18" t="str">
        <f>IF(BB48&lt;50,"0",IF(BB48&lt;=54.99,"4",IF(BB48&lt;=59.99,"5",IF(BB48&lt;=64.99,"6",IF(BB48&lt;=69.99,"7",IF(BB48&lt;=74.99,"8",IF(BB48&lt;=79.99,"9","10")))))))</f>
        <v>8</v>
      </c>
      <c r="BE48" s="28">
        <v>4</v>
      </c>
      <c r="BF48" s="29">
        <f>BD48*BE48</f>
        <v>32</v>
      </c>
      <c r="BG48" s="27">
        <f>AZ48+AS48+AE48+X48+J48+C48+Q48+AL48</f>
        <v>256</v>
      </c>
      <c r="BH48" s="27">
        <f>BA48+AT48+AF48+Y48+K48+D48+R48+AM48</f>
        <v>312</v>
      </c>
      <c r="BI48" s="27">
        <f>BH48+BG48</f>
        <v>568</v>
      </c>
      <c r="BJ48" s="30">
        <f>G48+N48+U48+AB48+AI48+AP48+BD48+AW48</f>
        <v>64</v>
      </c>
      <c r="BK48" s="30">
        <f>I48+P48+W48+AD48+AK48+AY48+BF48+AR48</f>
        <v>256</v>
      </c>
      <c r="BL48" s="25">
        <f>(BN48-0.75)*10</f>
        <v>72.5</v>
      </c>
      <c r="BM48" s="17" t="str">
        <f>IF(OR(C48&lt;20,D48&lt;30,J48&lt;20,K48&lt;30,Q48&lt;20,R48&lt;30,X48&lt;20,Y48&lt;30,AE48&lt;20,AF48&lt;30,AL48&lt;20,AM48&lt;30,AS48&lt;20,AT48&lt;30,AZ48&lt;20,BA48&lt;30),"Unsuccessful","Successful")</f>
        <v>Successful</v>
      </c>
      <c r="BN48" s="31">
        <f>BK48/32</f>
        <v>8</v>
      </c>
      <c r="BO48" s="18" t="str">
        <f>IF(BN48&lt;=4,"F",IF(BN48&lt;=4.5,"P",IF(BN48&lt;=5.5,"C",IF(BN48&lt;=6.5,"B",IF(BN48&lt;=7.5,"B+",IF(BN48&lt;=8.5,"A",IF(BN48&lt;=9.5,"A+","O")))))))</f>
        <v>A</v>
      </c>
      <c r="BP48" s="14" t="str">
        <f>IF(BN48&lt;=4,"50",IF(BN48&lt;=4.5,"50-54.99",IF(BN48&lt;=5.5,"55-59.99",IF(BN48&lt;=6.5,"60-64.99",IF(BN48&lt;=7.5,"65-69.99",IF(BN48&lt;=8.5,"70-74.99",IF(BN48&lt;=9.5,"75-79.99","10")))))))</f>
        <v>70-74.99</v>
      </c>
      <c r="BS48">
        <f>RANK(BN48,$BN$3:$BN$135)</f>
        <v>24</v>
      </c>
    </row>
    <row r="49" spans="1:71" x14ac:dyDescent="0.25">
      <c r="A49" s="14" t="str">
        <f>[2]Sheet1!$A74</f>
        <v>MMS18-20/073</v>
      </c>
      <c r="B49" s="15" t="str">
        <f>[2]Sheet1!$B74</f>
        <v>/KHADE VRUSHALEE SUKHADEV RAJASHREE</v>
      </c>
      <c r="C49" s="16">
        <f>'[3]1st Subject'!$C75</f>
        <v>30</v>
      </c>
      <c r="D49" s="16">
        <f>'[3]1st Subject'!$D75</f>
        <v>41</v>
      </c>
      <c r="E49" s="27">
        <f>D49+C49</f>
        <v>71</v>
      </c>
      <c r="F49" s="18" t="str">
        <f>IF(E49&lt;50,"F",IF(E49&lt;=54.99,"P",IF(E49&lt;=59.99,"C",IF(E49&lt;=64.99,"B",IF(E49&lt;=69.99,"B+",IF(E49&lt;=74.99,"A",IF(E49&lt;=79.99,"A+","O")))))))</f>
        <v>A</v>
      </c>
      <c r="G49" s="18" t="str">
        <f>IF(E49&lt;50,"0",IF(E49&lt;=54.99,"4",IF(E49&lt;=59.99,"5",IF(E49&lt;=64.99,"6",IF(E49&lt;=69.99,"7",IF(E49&lt;=74.99,"8",IF(E49&lt;=79.99,"9","10")))))))</f>
        <v>8</v>
      </c>
      <c r="H49" s="28">
        <v>4</v>
      </c>
      <c r="I49" s="29">
        <f>G49*H49</f>
        <v>32</v>
      </c>
      <c r="J49" s="16">
        <f>'[4]2nd Subject'!$C75</f>
        <v>30</v>
      </c>
      <c r="K49" s="16">
        <f>'[4]2nd Subject'!$D75</f>
        <v>41</v>
      </c>
      <c r="L49" s="27">
        <f>K49+J49</f>
        <v>71</v>
      </c>
      <c r="M49" s="18" t="str">
        <f>IF(L49&lt;50,"F",IF(L49&lt;=54.99,"P",IF(L49&lt;=59.99,"C",IF(L49&lt;=64.99,"B",IF(L49&lt;=69.99,"B+",IF(L49&lt;=74.99,"A",IF(L49&lt;=79.99,"A+","O")))))))</f>
        <v>A</v>
      </c>
      <c r="N49" s="18" t="str">
        <f>IF(L49&lt;50,"0",IF(L49&lt;=54.99,"4",IF(L49&lt;=59.99,"5",IF(L49&lt;=64.99,"6",IF(L49&lt;=69.99,"7",IF(L49&lt;=74.99,"8",IF(L49&lt;=79.99,"9","10")))))))</f>
        <v>8</v>
      </c>
      <c r="O49" s="28">
        <v>4</v>
      </c>
      <c r="P49" s="29">
        <f>N49*O49</f>
        <v>32</v>
      </c>
      <c r="Q49" s="21">
        <f>'[5]3rd Subject'!$C75</f>
        <v>30</v>
      </c>
      <c r="R49" s="21">
        <f>'[5]3rd Subject'!$D75</f>
        <v>41</v>
      </c>
      <c r="S49" s="27">
        <f>R49+Q49</f>
        <v>71</v>
      </c>
      <c r="T49" s="18" t="str">
        <f>IF(S49&lt;50,"F",IF(S49&lt;=54.99,"P",IF(S49&lt;=59.99,"C",IF(S49&lt;=64.99,"B",IF(S49&lt;=69.99,"B+",IF(S49&lt;=74.99,"A",IF(S49&lt;=79.99,"A+","O")))))))</f>
        <v>A</v>
      </c>
      <c r="U49" s="18" t="str">
        <f>IF(S49&lt;50,"0",IF(S49&lt;=54.99,"4",IF(S49&lt;=59.99,"5",IF(S49&lt;=64.99,"6",IF(S49&lt;=69.99,"7",IF(S49&lt;=74.99,"8",IF(S49&lt;=79.99,"9","10")))))))</f>
        <v>8</v>
      </c>
      <c r="V49" s="28">
        <v>4</v>
      </c>
      <c r="W49" s="29">
        <f>U49*V49</f>
        <v>32</v>
      </c>
      <c r="X49" s="22">
        <f>'[6]4th Subject'!$C75</f>
        <v>30</v>
      </c>
      <c r="Y49" s="23">
        <f>'[6]4th Subject'!$D75</f>
        <v>41</v>
      </c>
      <c r="Z49" s="27">
        <f>Y49+X49</f>
        <v>71</v>
      </c>
      <c r="AA49" s="18" t="str">
        <f>IF(Z49&lt;50,"F",IF(Z49&lt;=54.99,"P",IF(Z49&lt;=59.99,"C",IF(Z49&lt;=64.99,"B",IF(Z49&lt;=69.99,"B+",IF(Z49&lt;=74.99,"A",IF(Z49&lt;=79.99,"A+","O")))))))</f>
        <v>A</v>
      </c>
      <c r="AB49" s="18" t="str">
        <f>IF(Z49&lt;50,"0",IF(Z49&lt;=54.99,"4",IF(Z49&lt;=59.99,"5",IF(Z49&lt;=64.99,"6",IF(Z49&lt;=69.99,"7",IF(Z49&lt;=74.99,"8",IF(Z49&lt;=79.99,"9","10")))))))</f>
        <v>8</v>
      </c>
      <c r="AC49" s="28">
        <v>4</v>
      </c>
      <c r="AD49" s="29">
        <f>AB49*AC49</f>
        <v>32</v>
      </c>
      <c r="AE49" s="22">
        <f>'[7]5th Subject'!$C75</f>
        <v>30</v>
      </c>
      <c r="AF49" s="23">
        <f>'[7]5th Subject'!$D75</f>
        <v>41</v>
      </c>
      <c r="AG49" s="27">
        <f>AF49+AE49</f>
        <v>71</v>
      </c>
      <c r="AH49" s="18" t="str">
        <f>IF(AG49&lt;50,"F",IF(AG49&lt;=54.99,"P",IF(AG49&lt;=59.99,"C",IF(AG49&lt;=64.99,"B",IF(AG49&lt;=69.99,"B+",IF(AG49&lt;=74.99,"A",IF(AG49&lt;=79.99,"A+","O")))))))</f>
        <v>A</v>
      </c>
      <c r="AI49" s="18" t="str">
        <f>IF(AG49&lt;50,"0",IF(AG49&lt;=54.99,"4",IF(AG49&lt;=59.99,"5",IF(AG49&lt;=64.99,"6",IF(AG49&lt;=69.99,"7",IF(AG49&lt;=74.99,"8",IF(AG49&lt;=79.99,"9","10")))))))</f>
        <v>8</v>
      </c>
      <c r="AJ49" s="28">
        <v>4</v>
      </c>
      <c r="AK49" s="29">
        <f>AI49*AJ49</f>
        <v>32</v>
      </c>
      <c r="AL49" s="22">
        <f>'[8]6th Subject'!$C75</f>
        <v>30</v>
      </c>
      <c r="AM49" s="22">
        <f>'[8]6th Subject'!$D75</f>
        <v>41</v>
      </c>
      <c r="AN49" s="27">
        <f>AM49+AL49</f>
        <v>71</v>
      </c>
      <c r="AO49" s="18" t="str">
        <f>IF(AN49&lt;50,"F",IF(AN49&lt;=54.99,"P",IF(AN49&lt;=59.99,"C",IF(AN49&lt;=64.99,"B",IF(AN49&lt;=69.99,"B+",IF(AN49&lt;=74.99,"A",IF(AN49&lt;=79.99,"A+","O")))))))</f>
        <v>A</v>
      </c>
      <c r="AP49" s="18" t="str">
        <f>IF(AN49&lt;50,"0",IF(AN49&lt;=54.99,"4",IF(AN49&lt;=59.99,"5",IF(AN49&lt;=64.99,"6",IF(AN49&lt;=69.99,"7",IF(AN49&lt;=74.99,"8",IF(AN49&lt;=79.99,"9","10")))))))</f>
        <v>8</v>
      </c>
      <c r="AQ49" s="28">
        <v>4</v>
      </c>
      <c r="AR49" s="29">
        <f>AP49*AQ49</f>
        <v>32</v>
      </c>
      <c r="AS49" s="16">
        <f>'[9]7th Subject'!$C75</f>
        <v>30</v>
      </c>
      <c r="AT49" s="16">
        <f>'[9]7th Subject'!$D75</f>
        <v>41</v>
      </c>
      <c r="AU49" s="27">
        <f>AT49+AS49</f>
        <v>71</v>
      </c>
      <c r="AV49" s="18" t="str">
        <f>IF(AU49&lt;50,"F",IF(AU49&lt;=54.99,"P",IF(AU49&lt;=59.99,"C",IF(AU49&lt;=64.99,"B",IF(AU49&lt;=69.99,"B+",IF(AU49&lt;=74.99,"A",IF(AU49&lt;=79.99,"A+","O")))))))</f>
        <v>A</v>
      </c>
      <c r="AW49" s="18" t="str">
        <f>IF(AU49&lt;50,"0",IF(AU49&lt;=54.99,"4",IF(AU49&lt;=59.99,"5",IF(AU49&lt;=64.99,"6",IF(AU49&lt;=69.99,"7",IF(AU49&lt;=74.99,"8",IF(AU49&lt;=79.99,"9","10")))))))</f>
        <v>8</v>
      </c>
      <c r="AX49" s="28">
        <v>4</v>
      </c>
      <c r="AY49" s="29">
        <f>AW49*AX49</f>
        <v>32</v>
      </c>
      <c r="AZ49" s="22">
        <f>'[10]8th Subject'!$C75</f>
        <v>30</v>
      </c>
      <c r="BA49" s="22">
        <f>'[10]8th Subject'!$D75</f>
        <v>41</v>
      </c>
      <c r="BB49" s="27">
        <f>BA49+AZ49</f>
        <v>71</v>
      </c>
      <c r="BC49" s="18" t="str">
        <f>IF(BB49&lt;50,"F",IF(BB49&lt;=54.99,"P",IF(BB49&lt;=59.99,"C",IF(BB49&lt;=64.99,"B",IF(BB49&lt;=69.99,"B+",IF(BB49&lt;=74.99,"A",IF(BB49&lt;=79.99,"A+","O")))))))</f>
        <v>A</v>
      </c>
      <c r="BD49" s="18" t="str">
        <f>IF(BB49&lt;50,"0",IF(BB49&lt;=54.99,"4",IF(BB49&lt;=59.99,"5",IF(BB49&lt;=64.99,"6",IF(BB49&lt;=69.99,"7",IF(BB49&lt;=74.99,"8",IF(BB49&lt;=79.99,"9","10")))))))</f>
        <v>8</v>
      </c>
      <c r="BE49" s="28">
        <v>4</v>
      </c>
      <c r="BF49" s="29">
        <f>BD49*BE49</f>
        <v>32</v>
      </c>
      <c r="BG49" s="27">
        <f>AZ49+AS49+AE49+X49+J49+C49+Q49+AL49</f>
        <v>240</v>
      </c>
      <c r="BH49" s="27">
        <f>BA49+AT49+AF49+Y49+K49+D49+R49+AM49</f>
        <v>328</v>
      </c>
      <c r="BI49" s="27">
        <f>BH49+BG49</f>
        <v>568</v>
      </c>
      <c r="BJ49" s="30">
        <f>G49+N49+U49+AB49+AI49+AP49+BD49+AW49</f>
        <v>64</v>
      </c>
      <c r="BK49" s="30">
        <f>I49+P49+W49+AD49+AK49+AY49+BF49+AR49</f>
        <v>256</v>
      </c>
      <c r="BL49" s="25">
        <f>(BN49-0.75)*10</f>
        <v>72.5</v>
      </c>
      <c r="BM49" s="17" t="str">
        <f>IF(OR(C49&lt;20,D49&lt;30,J49&lt;20,K49&lt;30,Q49&lt;20,R49&lt;30,X49&lt;20,Y49&lt;30,AE49&lt;20,AF49&lt;30,AL49&lt;20,AM49&lt;30,AS49&lt;20,AT49&lt;30,AZ49&lt;20,BA49&lt;30),"Unsuccessful","Successful")</f>
        <v>Successful</v>
      </c>
      <c r="BN49" s="31">
        <f>BK49/32</f>
        <v>8</v>
      </c>
      <c r="BO49" s="18" t="str">
        <f>IF(BN49&lt;=4,"F",IF(BN49&lt;=4.5,"P",IF(BN49&lt;=5.5,"C",IF(BN49&lt;=6.5,"B",IF(BN49&lt;=7.5,"B+",IF(BN49&lt;=8.5,"A",IF(BN49&lt;=9.5,"A+","O")))))))</f>
        <v>A</v>
      </c>
      <c r="BP49" s="14" t="str">
        <f>IF(BN49&lt;=4,"50",IF(BN49&lt;=4.5,"50-54.99",IF(BN49&lt;=5.5,"55-59.99",IF(BN49&lt;=6.5,"60-64.99",IF(BN49&lt;=7.5,"65-69.99",IF(BN49&lt;=8.5,"70-74.99",IF(BN49&lt;=9.5,"75-79.99","10")))))))</f>
        <v>70-74.99</v>
      </c>
      <c r="BS49">
        <f>RANK(BN49,$BN$3:$BN$135)</f>
        <v>24</v>
      </c>
    </row>
    <row r="50" spans="1:71" x14ac:dyDescent="0.25">
      <c r="A50" s="14" t="str">
        <f>[2]Sheet1!$A84</f>
        <v>MMS18-20/083</v>
      </c>
      <c r="B50" s="15" t="str">
        <f>[2]Sheet1!$B84</f>
        <v>PRASAD ROHAN RAJENDRA RAJKUMARI</v>
      </c>
      <c r="C50" s="16">
        <f>'[3]1st Subject'!$C85</f>
        <v>32</v>
      </c>
      <c r="D50" s="16">
        <f>'[3]1st Subject'!$D85</f>
        <v>39</v>
      </c>
      <c r="E50" s="27">
        <f>D50+C50</f>
        <v>71</v>
      </c>
      <c r="F50" s="18" t="str">
        <f>IF(E50&lt;50,"F",IF(E50&lt;=54.99,"P",IF(E50&lt;=59.99,"C",IF(E50&lt;=64.99,"B",IF(E50&lt;=69.99,"B+",IF(E50&lt;=74.99,"A",IF(E50&lt;=79.99,"A+","O")))))))</f>
        <v>A</v>
      </c>
      <c r="G50" s="18" t="str">
        <f>IF(E50&lt;50,"0",IF(E50&lt;=54.99,"4",IF(E50&lt;=59.99,"5",IF(E50&lt;=64.99,"6",IF(E50&lt;=69.99,"7",IF(E50&lt;=74.99,"8",IF(E50&lt;=79.99,"9","10")))))))</f>
        <v>8</v>
      </c>
      <c r="H50" s="28">
        <v>4</v>
      </c>
      <c r="I50" s="29">
        <f>G50*H50</f>
        <v>32</v>
      </c>
      <c r="J50" s="16">
        <f>'[4]2nd Subject'!$C85</f>
        <v>32</v>
      </c>
      <c r="K50" s="16">
        <f>'[4]2nd Subject'!$D85</f>
        <v>39</v>
      </c>
      <c r="L50" s="27">
        <f>K50+J50</f>
        <v>71</v>
      </c>
      <c r="M50" s="18" t="str">
        <f>IF(L50&lt;50,"F",IF(L50&lt;=54.99,"P",IF(L50&lt;=59.99,"C",IF(L50&lt;=64.99,"B",IF(L50&lt;=69.99,"B+",IF(L50&lt;=74.99,"A",IF(L50&lt;=79.99,"A+","O")))))))</f>
        <v>A</v>
      </c>
      <c r="N50" s="18" t="str">
        <f>IF(L50&lt;50,"0",IF(L50&lt;=54.99,"4",IF(L50&lt;=59.99,"5",IF(L50&lt;=64.99,"6",IF(L50&lt;=69.99,"7",IF(L50&lt;=74.99,"8",IF(L50&lt;=79.99,"9","10")))))))</f>
        <v>8</v>
      </c>
      <c r="O50" s="28">
        <v>4</v>
      </c>
      <c r="P50" s="29">
        <f>N50*O50</f>
        <v>32</v>
      </c>
      <c r="Q50" s="21">
        <f>'[5]3rd Subject'!$C85</f>
        <v>32</v>
      </c>
      <c r="R50" s="21">
        <f>'[5]3rd Subject'!$D85</f>
        <v>39</v>
      </c>
      <c r="S50" s="27">
        <f>R50+Q50</f>
        <v>71</v>
      </c>
      <c r="T50" s="18" t="str">
        <f>IF(S50&lt;50,"F",IF(S50&lt;=54.99,"P",IF(S50&lt;=59.99,"C",IF(S50&lt;=64.99,"B",IF(S50&lt;=69.99,"B+",IF(S50&lt;=74.99,"A",IF(S50&lt;=79.99,"A+","O")))))))</f>
        <v>A</v>
      </c>
      <c r="U50" s="18" t="str">
        <f>IF(S50&lt;50,"0",IF(S50&lt;=54.99,"4",IF(S50&lt;=59.99,"5",IF(S50&lt;=64.99,"6",IF(S50&lt;=69.99,"7",IF(S50&lt;=74.99,"8",IF(S50&lt;=79.99,"9","10")))))))</f>
        <v>8</v>
      </c>
      <c r="V50" s="28">
        <v>4</v>
      </c>
      <c r="W50" s="29">
        <f>U50*V50</f>
        <v>32</v>
      </c>
      <c r="X50" s="22">
        <f>'[6]4th Subject'!$C85</f>
        <v>32</v>
      </c>
      <c r="Y50" s="23">
        <f>'[6]4th Subject'!$D85</f>
        <v>39</v>
      </c>
      <c r="Z50" s="27">
        <f>Y50+X50</f>
        <v>71</v>
      </c>
      <c r="AA50" s="18" t="str">
        <f>IF(Z50&lt;50,"F",IF(Z50&lt;=54.99,"P",IF(Z50&lt;=59.99,"C",IF(Z50&lt;=64.99,"B",IF(Z50&lt;=69.99,"B+",IF(Z50&lt;=74.99,"A",IF(Z50&lt;=79.99,"A+","O")))))))</f>
        <v>A</v>
      </c>
      <c r="AB50" s="18" t="str">
        <f>IF(Z50&lt;50,"0",IF(Z50&lt;=54.99,"4",IF(Z50&lt;=59.99,"5",IF(Z50&lt;=64.99,"6",IF(Z50&lt;=69.99,"7",IF(Z50&lt;=74.99,"8",IF(Z50&lt;=79.99,"9","10")))))))</f>
        <v>8</v>
      </c>
      <c r="AC50" s="28">
        <v>4</v>
      </c>
      <c r="AD50" s="29">
        <f>AB50*AC50</f>
        <v>32</v>
      </c>
      <c r="AE50" s="22">
        <f>'[7]5th Subject'!$C85</f>
        <v>32</v>
      </c>
      <c r="AF50" s="23">
        <f>'[7]5th Subject'!$D85</f>
        <v>39</v>
      </c>
      <c r="AG50" s="27">
        <f>AF50+AE50</f>
        <v>71</v>
      </c>
      <c r="AH50" s="18" t="str">
        <f>IF(AG50&lt;50,"F",IF(AG50&lt;=54.99,"P",IF(AG50&lt;=59.99,"C",IF(AG50&lt;=64.99,"B",IF(AG50&lt;=69.99,"B+",IF(AG50&lt;=74.99,"A",IF(AG50&lt;=79.99,"A+","O")))))))</f>
        <v>A</v>
      </c>
      <c r="AI50" s="18" t="str">
        <f>IF(AG50&lt;50,"0",IF(AG50&lt;=54.99,"4",IF(AG50&lt;=59.99,"5",IF(AG50&lt;=64.99,"6",IF(AG50&lt;=69.99,"7",IF(AG50&lt;=74.99,"8",IF(AG50&lt;=79.99,"9","10")))))))</f>
        <v>8</v>
      </c>
      <c r="AJ50" s="28">
        <v>4</v>
      </c>
      <c r="AK50" s="29">
        <f>AI50*AJ50</f>
        <v>32</v>
      </c>
      <c r="AL50" s="22">
        <f>'[8]6th Subject'!$C85</f>
        <v>32</v>
      </c>
      <c r="AM50" s="22">
        <f>'[8]6th Subject'!$D85</f>
        <v>39</v>
      </c>
      <c r="AN50" s="27">
        <f>AM50+AL50</f>
        <v>71</v>
      </c>
      <c r="AO50" s="18" t="str">
        <f>IF(AN50&lt;50,"F",IF(AN50&lt;=54.99,"P",IF(AN50&lt;=59.99,"C",IF(AN50&lt;=64.99,"B",IF(AN50&lt;=69.99,"B+",IF(AN50&lt;=74.99,"A",IF(AN50&lt;=79.99,"A+","O")))))))</f>
        <v>A</v>
      </c>
      <c r="AP50" s="18" t="str">
        <f>IF(AN50&lt;50,"0",IF(AN50&lt;=54.99,"4",IF(AN50&lt;=59.99,"5",IF(AN50&lt;=64.99,"6",IF(AN50&lt;=69.99,"7",IF(AN50&lt;=74.99,"8",IF(AN50&lt;=79.99,"9","10")))))))</f>
        <v>8</v>
      </c>
      <c r="AQ50" s="28">
        <v>4</v>
      </c>
      <c r="AR50" s="29">
        <f>AP50*AQ50</f>
        <v>32</v>
      </c>
      <c r="AS50" s="16">
        <f>'[9]7th Subject'!$C85</f>
        <v>32</v>
      </c>
      <c r="AT50" s="16">
        <f>'[9]7th Subject'!$D85</f>
        <v>39</v>
      </c>
      <c r="AU50" s="27">
        <f>AT50+AS50</f>
        <v>71</v>
      </c>
      <c r="AV50" s="18" t="str">
        <f>IF(AU50&lt;50,"F",IF(AU50&lt;=54.99,"P",IF(AU50&lt;=59.99,"C",IF(AU50&lt;=64.99,"B",IF(AU50&lt;=69.99,"B+",IF(AU50&lt;=74.99,"A",IF(AU50&lt;=79.99,"A+","O")))))))</f>
        <v>A</v>
      </c>
      <c r="AW50" s="18" t="str">
        <f>IF(AU50&lt;50,"0",IF(AU50&lt;=54.99,"4",IF(AU50&lt;=59.99,"5",IF(AU50&lt;=64.99,"6",IF(AU50&lt;=69.99,"7",IF(AU50&lt;=74.99,"8",IF(AU50&lt;=79.99,"9","10")))))))</f>
        <v>8</v>
      </c>
      <c r="AX50" s="28">
        <v>4</v>
      </c>
      <c r="AY50" s="29">
        <f>AW50*AX50</f>
        <v>32</v>
      </c>
      <c r="AZ50" s="22">
        <f>'[10]8th Subject'!$C85</f>
        <v>32</v>
      </c>
      <c r="BA50" s="22">
        <f>'[10]8th Subject'!$D85</f>
        <v>39</v>
      </c>
      <c r="BB50" s="27">
        <f>BA50+AZ50</f>
        <v>71</v>
      </c>
      <c r="BC50" s="18" t="str">
        <f>IF(BB50&lt;50,"F",IF(BB50&lt;=54.99,"P",IF(BB50&lt;=59.99,"C",IF(BB50&lt;=64.99,"B",IF(BB50&lt;=69.99,"B+",IF(BB50&lt;=74.99,"A",IF(BB50&lt;=79.99,"A+","O")))))))</f>
        <v>A</v>
      </c>
      <c r="BD50" s="18" t="str">
        <f>IF(BB50&lt;50,"0",IF(BB50&lt;=54.99,"4",IF(BB50&lt;=59.99,"5",IF(BB50&lt;=64.99,"6",IF(BB50&lt;=69.99,"7",IF(BB50&lt;=74.99,"8",IF(BB50&lt;=79.99,"9","10")))))))</f>
        <v>8</v>
      </c>
      <c r="BE50" s="28">
        <v>4</v>
      </c>
      <c r="BF50" s="29">
        <f>BD50*BE50</f>
        <v>32</v>
      </c>
      <c r="BG50" s="27">
        <f>AZ50+AS50+AE50+X50+J50+C50+Q50+AL50</f>
        <v>256</v>
      </c>
      <c r="BH50" s="27">
        <f>BA50+AT50+AF50+Y50+K50+D50+R50+AM50</f>
        <v>312</v>
      </c>
      <c r="BI50" s="27">
        <f>BH50+BG50</f>
        <v>568</v>
      </c>
      <c r="BJ50" s="30">
        <f>G50+N50+U50+AB50+AI50+AP50+BD50+AW50</f>
        <v>64</v>
      </c>
      <c r="BK50" s="30">
        <f>I50+P50+W50+AD50+AK50+AY50+BF50+AR50</f>
        <v>256</v>
      </c>
      <c r="BL50" s="25">
        <f>(BN50-0.75)*10</f>
        <v>72.5</v>
      </c>
      <c r="BM50" s="17" t="str">
        <f>IF(OR(C50&lt;20,D50&lt;30,J50&lt;20,K50&lt;30,Q50&lt;20,R50&lt;30,X50&lt;20,Y50&lt;30,AE50&lt;20,AF50&lt;30,AL50&lt;20,AM50&lt;30,AS50&lt;20,AT50&lt;30,AZ50&lt;20,BA50&lt;30),"Unsuccessful","Successful")</f>
        <v>Successful</v>
      </c>
      <c r="BN50" s="31">
        <f>BK50/32</f>
        <v>8</v>
      </c>
      <c r="BO50" s="18" t="str">
        <f>IF(BN50&lt;=4,"F",IF(BN50&lt;=4.5,"P",IF(BN50&lt;=5.5,"C",IF(BN50&lt;=6.5,"B",IF(BN50&lt;=7.5,"B+",IF(BN50&lt;=8.5,"A",IF(BN50&lt;=9.5,"A+","O")))))))</f>
        <v>A</v>
      </c>
      <c r="BP50" s="14" t="str">
        <f>IF(BN50&lt;=4,"50",IF(BN50&lt;=4.5,"50-54.99",IF(BN50&lt;=5.5,"55-59.99",IF(BN50&lt;=6.5,"60-64.99",IF(BN50&lt;=7.5,"65-69.99",IF(BN50&lt;=8.5,"70-74.99",IF(BN50&lt;=9.5,"75-79.99","10")))))))</f>
        <v>70-74.99</v>
      </c>
      <c r="BS50">
        <f>RANK(BN50,$BN$3:$BN$135)</f>
        <v>24</v>
      </c>
    </row>
    <row r="51" spans="1:71" x14ac:dyDescent="0.25">
      <c r="A51" s="14" t="str">
        <f>[2]Sheet1!$A85</f>
        <v>MMS18-20/084</v>
      </c>
      <c r="B51" s="15" t="str">
        <f>[2]Sheet1!$B85</f>
        <v>RAI JAYESH RAVINDRANATH DIVYA</v>
      </c>
      <c r="C51" s="16">
        <f>'[3]1st Subject'!$C86</f>
        <v>30</v>
      </c>
      <c r="D51" s="16">
        <f>'[3]1st Subject'!$D86</f>
        <v>41</v>
      </c>
      <c r="E51" s="27">
        <f>D51+C51</f>
        <v>71</v>
      </c>
      <c r="F51" s="18" t="str">
        <f>IF(E51&lt;50,"F",IF(E51&lt;=54.99,"P",IF(E51&lt;=59.99,"C",IF(E51&lt;=64.99,"B",IF(E51&lt;=69.99,"B+",IF(E51&lt;=74.99,"A",IF(E51&lt;=79.99,"A+","O")))))))</f>
        <v>A</v>
      </c>
      <c r="G51" s="18" t="str">
        <f>IF(E51&lt;50,"0",IF(E51&lt;=54.99,"4",IF(E51&lt;=59.99,"5",IF(E51&lt;=64.99,"6",IF(E51&lt;=69.99,"7",IF(E51&lt;=74.99,"8",IF(E51&lt;=79.99,"9","10")))))))</f>
        <v>8</v>
      </c>
      <c r="H51" s="28">
        <v>4</v>
      </c>
      <c r="I51" s="29">
        <f>G51*H51</f>
        <v>32</v>
      </c>
      <c r="J51" s="16">
        <f>'[4]2nd Subject'!$C86</f>
        <v>30</v>
      </c>
      <c r="K51" s="16">
        <f>'[4]2nd Subject'!$D86</f>
        <v>41</v>
      </c>
      <c r="L51" s="27">
        <f>K51+J51</f>
        <v>71</v>
      </c>
      <c r="M51" s="18" t="str">
        <f>IF(L51&lt;50,"F",IF(L51&lt;=54.99,"P",IF(L51&lt;=59.99,"C",IF(L51&lt;=64.99,"B",IF(L51&lt;=69.99,"B+",IF(L51&lt;=74.99,"A",IF(L51&lt;=79.99,"A+","O")))))))</f>
        <v>A</v>
      </c>
      <c r="N51" s="18" t="str">
        <f>IF(L51&lt;50,"0",IF(L51&lt;=54.99,"4",IF(L51&lt;=59.99,"5",IF(L51&lt;=64.99,"6",IF(L51&lt;=69.99,"7",IF(L51&lt;=74.99,"8",IF(L51&lt;=79.99,"9","10")))))))</f>
        <v>8</v>
      </c>
      <c r="O51" s="28">
        <v>4</v>
      </c>
      <c r="P51" s="29">
        <f>N51*O51</f>
        <v>32</v>
      </c>
      <c r="Q51" s="21">
        <f>'[5]3rd Subject'!$C86</f>
        <v>30</v>
      </c>
      <c r="R51" s="21">
        <f>'[5]3rd Subject'!$D86</f>
        <v>41</v>
      </c>
      <c r="S51" s="27">
        <f>R51+Q51</f>
        <v>71</v>
      </c>
      <c r="T51" s="18" t="str">
        <f>IF(S51&lt;50,"F",IF(S51&lt;=54.99,"P",IF(S51&lt;=59.99,"C",IF(S51&lt;=64.99,"B",IF(S51&lt;=69.99,"B+",IF(S51&lt;=74.99,"A",IF(S51&lt;=79.99,"A+","O")))))))</f>
        <v>A</v>
      </c>
      <c r="U51" s="18" t="str">
        <f>IF(S51&lt;50,"0",IF(S51&lt;=54.99,"4",IF(S51&lt;=59.99,"5",IF(S51&lt;=64.99,"6",IF(S51&lt;=69.99,"7",IF(S51&lt;=74.99,"8",IF(S51&lt;=79.99,"9","10")))))))</f>
        <v>8</v>
      </c>
      <c r="V51" s="28">
        <v>4</v>
      </c>
      <c r="W51" s="29">
        <f>U51*V51</f>
        <v>32</v>
      </c>
      <c r="X51" s="22">
        <f>'[6]4th Subject'!$C86</f>
        <v>30</v>
      </c>
      <c r="Y51" s="23">
        <f>'[6]4th Subject'!$D86</f>
        <v>41</v>
      </c>
      <c r="Z51" s="27">
        <f>Y51+X51</f>
        <v>71</v>
      </c>
      <c r="AA51" s="18" t="str">
        <f>IF(Z51&lt;50,"F",IF(Z51&lt;=54.99,"P",IF(Z51&lt;=59.99,"C",IF(Z51&lt;=64.99,"B",IF(Z51&lt;=69.99,"B+",IF(Z51&lt;=74.99,"A",IF(Z51&lt;=79.99,"A+","O")))))))</f>
        <v>A</v>
      </c>
      <c r="AB51" s="18" t="str">
        <f>IF(Z51&lt;50,"0",IF(Z51&lt;=54.99,"4",IF(Z51&lt;=59.99,"5",IF(Z51&lt;=64.99,"6",IF(Z51&lt;=69.99,"7",IF(Z51&lt;=74.99,"8",IF(Z51&lt;=79.99,"9","10")))))))</f>
        <v>8</v>
      </c>
      <c r="AC51" s="28">
        <v>4</v>
      </c>
      <c r="AD51" s="29">
        <f>AB51*AC51</f>
        <v>32</v>
      </c>
      <c r="AE51" s="22">
        <f>'[7]5th Subject'!$C86</f>
        <v>30</v>
      </c>
      <c r="AF51" s="23">
        <f>'[7]5th Subject'!$D86</f>
        <v>41</v>
      </c>
      <c r="AG51" s="27">
        <f>AF51+AE51</f>
        <v>71</v>
      </c>
      <c r="AH51" s="18" t="str">
        <f>IF(AG51&lt;50,"F",IF(AG51&lt;=54.99,"P",IF(AG51&lt;=59.99,"C",IF(AG51&lt;=64.99,"B",IF(AG51&lt;=69.99,"B+",IF(AG51&lt;=74.99,"A",IF(AG51&lt;=79.99,"A+","O")))))))</f>
        <v>A</v>
      </c>
      <c r="AI51" s="18" t="str">
        <f>IF(AG51&lt;50,"0",IF(AG51&lt;=54.99,"4",IF(AG51&lt;=59.99,"5",IF(AG51&lt;=64.99,"6",IF(AG51&lt;=69.99,"7",IF(AG51&lt;=74.99,"8",IF(AG51&lt;=79.99,"9","10")))))))</f>
        <v>8</v>
      </c>
      <c r="AJ51" s="28">
        <v>4</v>
      </c>
      <c r="AK51" s="29">
        <f>AI51*AJ51</f>
        <v>32</v>
      </c>
      <c r="AL51" s="22">
        <f>'[8]6th Subject'!$C86</f>
        <v>30</v>
      </c>
      <c r="AM51" s="22">
        <f>'[8]6th Subject'!$D86</f>
        <v>41</v>
      </c>
      <c r="AN51" s="27">
        <f>AM51+AL51</f>
        <v>71</v>
      </c>
      <c r="AO51" s="18" t="str">
        <f>IF(AN51&lt;50,"F",IF(AN51&lt;=54.99,"P",IF(AN51&lt;=59.99,"C",IF(AN51&lt;=64.99,"B",IF(AN51&lt;=69.99,"B+",IF(AN51&lt;=74.99,"A",IF(AN51&lt;=79.99,"A+","O")))))))</f>
        <v>A</v>
      </c>
      <c r="AP51" s="18" t="str">
        <f>IF(AN51&lt;50,"0",IF(AN51&lt;=54.99,"4",IF(AN51&lt;=59.99,"5",IF(AN51&lt;=64.99,"6",IF(AN51&lt;=69.99,"7",IF(AN51&lt;=74.99,"8",IF(AN51&lt;=79.99,"9","10")))))))</f>
        <v>8</v>
      </c>
      <c r="AQ51" s="28">
        <v>4</v>
      </c>
      <c r="AR51" s="29">
        <f>AP51*AQ51</f>
        <v>32</v>
      </c>
      <c r="AS51" s="16">
        <f>'[9]7th Subject'!$C86</f>
        <v>30</v>
      </c>
      <c r="AT51" s="16">
        <f>'[9]7th Subject'!$D86</f>
        <v>41</v>
      </c>
      <c r="AU51" s="27">
        <f>AT51+AS51</f>
        <v>71</v>
      </c>
      <c r="AV51" s="18" t="str">
        <f>IF(AU51&lt;50,"F",IF(AU51&lt;=54.99,"P",IF(AU51&lt;=59.99,"C",IF(AU51&lt;=64.99,"B",IF(AU51&lt;=69.99,"B+",IF(AU51&lt;=74.99,"A",IF(AU51&lt;=79.99,"A+","O")))))))</f>
        <v>A</v>
      </c>
      <c r="AW51" s="18" t="str">
        <f>IF(AU51&lt;50,"0",IF(AU51&lt;=54.99,"4",IF(AU51&lt;=59.99,"5",IF(AU51&lt;=64.99,"6",IF(AU51&lt;=69.99,"7",IF(AU51&lt;=74.99,"8",IF(AU51&lt;=79.99,"9","10")))))))</f>
        <v>8</v>
      </c>
      <c r="AX51" s="28">
        <v>4</v>
      </c>
      <c r="AY51" s="29">
        <f>AW51*AX51</f>
        <v>32</v>
      </c>
      <c r="AZ51" s="22">
        <f>'[10]8th Subject'!$C86</f>
        <v>30</v>
      </c>
      <c r="BA51" s="22">
        <f>'[10]8th Subject'!$D86</f>
        <v>41</v>
      </c>
      <c r="BB51" s="27">
        <f>BA51+AZ51</f>
        <v>71</v>
      </c>
      <c r="BC51" s="18" t="str">
        <f>IF(BB51&lt;50,"F",IF(BB51&lt;=54.99,"P",IF(BB51&lt;=59.99,"C",IF(BB51&lt;=64.99,"B",IF(BB51&lt;=69.99,"B+",IF(BB51&lt;=74.99,"A",IF(BB51&lt;=79.99,"A+","O")))))))</f>
        <v>A</v>
      </c>
      <c r="BD51" s="18" t="str">
        <f>IF(BB51&lt;50,"0",IF(BB51&lt;=54.99,"4",IF(BB51&lt;=59.99,"5",IF(BB51&lt;=64.99,"6",IF(BB51&lt;=69.99,"7",IF(BB51&lt;=74.99,"8",IF(BB51&lt;=79.99,"9","10")))))))</f>
        <v>8</v>
      </c>
      <c r="BE51" s="28">
        <v>4</v>
      </c>
      <c r="BF51" s="29">
        <f>BD51*BE51</f>
        <v>32</v>
      </c>
      <c r="BG51" s="27">
        <f>AZ51+AS51+AE51+X51+J51+C51+Q51+AL51</f>
        <v>240</v>
      </c>
      <c r="BH51" s="27">
        <f>BA51+AT51+AF51+Y51+K51+D51+R51+AM51</f>
        <v>328</v>
      </c>
      <c r="BI51" s="27">
        <f>BH51+BG51</f>
        <v>568</v>
      </c>
      <c r="BJ51" s="30">
        <f>G51+N51+U51+AB51+AI51+AP51+BD51+AW51</f>
        <v>64</v>
      </c>
      <c r="BK51" s="30">
        <f>I51+P51+W51+AD51+AK51+AY51+BF51+AR51</f>
        <v>256</v>
      </c>
      <c r="BL51" s="25">
        <f>(BN51-0.75)*10</f>
        <v>72.5</v>
      </c>
      <c r="BM51" s="17" t="str">
        <f>IF(OR(C51&lt;20,D51&lt;30,J51&lt;20,K51&lt;30,Q51&lt;20,R51&lt;30,X51&lt;20,Y51&lt;30,AE51&lt;20,AF51&lt;30,AL51&lt;20,AM51&lt;30,AS51&lt;20,AT51&lt;30,AZ51&lt;20,BA51&lt;30),"Unsuccessful","Successful")</f>
        <v>Successful</v>
      </c>
      <c r="BN51" s="31">
        <f>BK51/32</f>
        <v>8</v>
      </c>
      <c r="BO51" s="18" t="str">
        <f>IF(BN51&lt;=4,"F",IF(BN51&lt;=4.5,"P",IF(BN51&lt;=5.5,"C",IF(BN51&lt;=6.5,"B",IF(BN51&lt;=7.5,"B+",IF(BN51&lt;=8.5,"A",IF(BN51&lt;=9.5,"A+","O")))))))</f>
        <v>A</v>
      </c>
      <c r="BP51" s="14" t="str">
        <f>IF(BN51&lt;=4,"50",IF(BN51&lt;=4.5,"50-54.99",IF(BN51&lt;=5.5,"55-59.99",IF(BN51&lt;=6.5,"60-64.99",IF(BN51&lt;=7.5,"65-69.99",IF(BN51&lt;=8.5,"70-74.99",IF(BN51&lt;=9.5,"75-79.99","10")))))))</f>
        <v>70-74.99</v>
      </c>
      <c r="BS51">
        <f>RANK(BN51,$BN$3:$BN$135)</f>
        <v>24</v>
      </c>
    </row>
    <row r="52" spans="1:71" x14ac:dyDescent="0.25">
      <c r="A52" s="14" t="str">
        <f>[2]Sheet1!$A95</f>
        <v>MMS18-20/094</v>
      </c>
      <c r="B52" s="15" t="str">
        <f>[2]Sheet1!$B95</f>
        <v>/SHETTY SHIFALI PRASHANT ASHALATA</v>
      </c>
      <c r="C52" s="16">
        <f>'[3]1st Subject'!$C96</f>
        <v>32</v>
      </c>
      <c r="D52" s="16">
        <f>'[3]1st Subject'!$D96</f>
        <v>39</v>
      </c>
      <c r="E52" s="27">
        <f>D52+C52</f>
        <v>71</v>
      </c>
      <c r="F52" s="18" t="str">
        <f>IF(E52&lt;50,"F",IF(E52&lt;=54.99,"P",IF(E52&lt;=59.99,"C",IF(E52&lt;=64.99,"B",IF(E52&lt;=69.99,"B+",IF(E52&lt;=74.99,"A",IF(E52&lt;=79.99,"A+","O")))))))</f>
        <v>A</v>
      </c>
      <c r="G52" s="18" t="str">
        <f>IF(E52&lt;50,"0",IF(E52&lt;=54.99,"4",IF(E52&lt;=59.99,"5",IF(E52&lt;=64.99,"6",IF(E52&lt;=69.99,"7",IF(E52&lt;=74.99,"8",IF(E52&lt;=79.99,"9","10")))))))</f>
        <v>8</v>
      </c>
      <c r="H52" s="28">
        <v>4</v>
      </c>
      <c r="I52" s="29">
        <f>G52*H52</f>
        <v>32</v>
      </c>
      <c r="J52" s="16">
        <f>'[4]2nd Subject'!$C96</f>
        <v>32</v>
      </c>
      <c r="K52" s="16">
        <f>'[4]2nd Subject'!$D96</f>
        <v>39</v>
      </c>
      <c r="L52" s="27">
        <f>K52+J52</f>
        <v>71</v>
      </c>
      <c r="M52" s="18" t="str">
        <f>IF(L52&lt;50,"F",IF(L52&lt;=54.99,"P",IF(L52&lt;=59.99,"C",IF(L52&lt;=64.99,"B",IF(L52&lt;=69.99,"B+",IF(L52&lt;=74.99,"A",IF(L52&lt;=79.99,"A+","O")))))))</f>
        <v>A</v>
      </c>
      <c r="N52" s="18" t="str">
        <f>IF(L52&lt;50,"0",IF(L52&lt;=54.99,"4",IF(L52&lt;=59.99,"5",IF(L52&lt;=64.99,"6",IF(L52&lt;=69.99,"7",IF(L52&lt;=74.99,"8",IF(L52&lt;=79.99,"9","10")))))))</f>
        <v>8</v>
      </c>
      <c r="O52" s="28">
        <v>4</v>
      </c>
      <c r="P52" s="29">
        <f>N52*O52</f>
        <v>32</v>
      </c>
      <c r="Q52" s="21">
        <f>'[5]3rd Subject'!$C96</f>
        <v>32</v>
      </c>
      <c r="R52" s="21">
        <f>'[5]3rd Subject'!$D96</f>
        <v>39</v>
      </c>
      <c r="S52" s="27">
        <f>R52+Q52</f>
        <v>71</v>
      </c>
      <c r="T52" s="18" t="str">
        <f>IF(S52&lt;50,"F",IF(S52&lt;=54.99,"P",IF(S52&lt;=59.99,"C",IF(S52&lt;=64.99,"B",IF(S52&lt;=69.99,"B+",IF(S52&lt;=74.99,"A",IF(S52&lt;=79.99,"A+","O")))))))</f>
        <v>A</v>
      </c>
      <c r="U52" s="18" t="str">
        <f>IF(S52&lt;50,"0",IF(S52&lt;=54.99,"4",IF(S52&lt;=59.99,"5",IF(S52&lt;=64.99,"6",IF(S52&lt;=69.99,"7",IF(S52&lt;=74.99,"8",IF(S52&lt;=79.99,"9","10")))))))</f>
        <v>8</v>
      </c>
      <c r="V52" s="28">
        <v>4</v>
      </c>
      <c r="W52" s="29">
        <f>U52*V52</f>
        <v>32</v>
      </c>
      <c r="X52" s="22">
        <f>'[6]4th Subject'!$C96</f>
        <v>32</v>
      </c>
      <c r="Y52" s="23">
        <f>'[6]4th Subject'!$D96</f>
        <v>39</v>
      </c>
      <c r="Z52" s="27">
        <f>Y52+X52</f>
        <v>71</v>
      </c>
      <c r="AA52" s="18" t="str">
        <f>IF(Z52&lt;50,"F",IF(Z52&lt;=54.99,"P",IF(Z52&lt;=59.99,"C",IF(Z52&lt;=64.99,"B",IF(Z52&lt;=69.99,"B+",IF(Z52&lt;=74.99,"A",IF(Z52&lt;=79.99,"A+","O")))))))</f>
        <v>A</v>
      </c>
      <c r="AB52" s="18" t="str">
        <f>IF(Z52&lt;50,"0",IF(Z52&lt;=54.99,"4",IF(Z52&lt;=59.99,"5",IF(Z52&lt;=64.99,"6",IF(Z52&lt;=69.99,"7",IF(Z52&lt;=74.99,"8",IF(Z52&lt;=79.99,"9","10")))))))</f>
        <v>8</v>
      </c>
      <c r="AC52" s="28">
        <v>4</v>
      </c>
      <c r="AD52" s="29">
        <f>AB52*AC52</f>
        <v>32</v>
      </c>
      <c r="AE52" s="22">
        <f>'[7]5th Subject'!$C96</f>
        <v>32</v>
      </c>
      <c r="AF52" s="23">
        <f>'[7]5th Subject'!$D96</f>
        <v>39</v>
      </c>
      <c r="AG52" s="27">
        <f>AF52+AE52</f>
        <v>71</v>
      </c>
      <c r="AH52" s="18" t="str">
        <f>IF(AG52&lt;50,"F",IF(AG52&lt;=54.99,"P",IF(AG52&lt;=59.99,"C",IF(AG52&lt;=64.99,"B",IF(AG52&lt;=69.99,"B+",IF(AG52&lt;=74.99,"A",IF(AG52&lt;=79.99,"A+","O")))))))</f>
        <v>A</v>
      </c>
      <c r="AI52" s="18" t="str">
        <f>IF(AG52&lt;50,"0",IF(AG52&lt;=54.99,"4",IF(AG52&lt;=59.99,"5",IF(AG52&lt;=64.99,"6",IF(AG52&lt;=69.99,"7",IF(AG52&lt;=74.99,"8",IF(AG52&lt;=79.99,"9","10")))))))</f>
        <v>8</v>
      </c>
      <c r="AJ52" s="28">
        <v>4</v>
      </c>
      <c r="AK52" s="29">
        <f>AI52*AJ52</f>
        <v>32</v>
      </c>
      <c r="AL52" s="22">
        <f>'[8]6th Subject'!$C96</f>
        <v>32</v>
      </c>
      <c r="AM52" s="22">
        <f>'[8]6th Subject'!$D96</f>
        <v>39</v>
      </c>
      <c r="AN52" s="27">
        <f>AM52+AL52</f>
        <v>71</v>
      </c>
      <c r="AO52" s="18" t="str">
        <f>IF(AN52&lt;50,"F",IF(AN52&lt;=54.99,"P",IF(AN52&lt;=59.99,"C",IF(AN52&lt;=64.99,"B",IF(AN52&lt;=69.99,"B+",IF(AN52&lt;=74.99,"A",IF(AN52&lt;=79.99,"A+","O")))))))</f>
        <v>A</v>
      </c>
      <c r="AP52" s="18" t="str">
        <f>IF(AN52&lt;50,"0",IF(AN52&lt;=54.99,"4",IF(AN52&lt;=59.99,"5",IF(AN52&lt;=64.99,"6",IF(AN52&lt;=69.99,"7",IF(AN52&lt;=74.99,"8",IF(AN52&lt;=79.99,"9","10")))))))</f>
        <v>8</v>
      </c>
      <c r="AQ52" s="28">
        <v>4</v>
      </c>
      <c r="AR52" s="29">
        <f>AP52*AQ52</f>
        <v>32</v>
      </c>
      <c r="AS52" s="16">
        <f>'[9]7th Subject'!$C96</f>
        <v>32</v>
      </c>
      <c r="AT52" s="16">
        <f>'[9]7th Subject'!$D96</f>
        <v>39</v>
      </c>
      <c r="AU52" s="27">
        <f>AT52+AS52</f>
        <v>71</v>
      </c>
      <c r="AV52" s="18" t="str">
        <f>IF(AU52&lt;50,"F",IF(AU52&lt;=54.99,"P",IF(AU52&lt;=59.99,"C",IF(AU52&lt;=64.99,"B",IF(AU52&lt;=69.99,"B+",IF(AU52&lt;=74.99,"A",IF(AU52&lt;=79.99,"A+","O")))))))</f>
        <v>A</v>
      </c>
      <c r="AW52" s="18" t="str">
        <f>IF(AU52&lt;50,"0",IF(AU52&lt;=54.99,"4",IF(AU52&lt;=59.99,"5",IF(AU52&lt;=64.99,"6",IF(AU52&lt;=69.99,"7",IF(AU52&lt;=74.99,"8",IF(AU52&lt;=79.99,"9","10")))))))</f>
        <v>8</v>
      </c>
      <c r="AX52" s="28">
        <v>4</v>
      </c>
      <c r="AY52" s="29">
        <f>AW52*AX52</f>
        <v>32</v>
      </c>
      <c r="AZ52" s="22">
        <f>'[10]8th Subject'!$C96</f>
        <v>32</v>
      </c>
      <c r="BA52" s="22">
        <f>'[10]8th Subject'!$D96</f>
        <v>39</v>
      </c>
      <c r="BB52" s="27">
        <f>BA52+AZ52</f>
        <v>71</v>
      </c>
      <c r="BC52" s="18" t="str">
        <f>IF(BB52&lt;50,"F",IF(BB52&lt;=54.99,"P",IF(BB52&lt;=59.99,"C",IF(BB52&lt;=64.99,"B",IF(BB52&lt;=69.99,"B+",IF(BB52&lt;=74.99,"A",IF(BB52&lt;=79.99,"A+","O")))))))</f>
        <v>A</v>
      </c>
      <c r="BD52" s="18" t="str">
        <f>IF(BB52&lt;50,"0",IF(BB52&lt;=54.99,"4",IF(BB52&lt;=59.99,"5",IF(BB52&lt;=64.99,"6",IF(BB52&lt;=69.99,"7",IF(BB52&lt;=74.99,"8",IF(BB52&lt;=79.99,"9","10")))))))</f>
        <v>8</v>
      </c>
      <c r="BE52" s="28">
        <v>4</v>
      </c>
      <c r="BF52" s="29">
        <f>BD52*BE52</f>
        <v>32</v>
      </c>
      <c r="BG52" s="27">
        <f>AZ52+AS52+AE52+X52+J52+C52+Q52+AL52</f>
        <v>256</v>
      </c>
      <c r="BH52" s="27">
        <f>BA52+AT52+AF52+Y52+K52+D52+R52+AM52</f>
        <v>312</v>
      </c>
      <c r="BI52" s="27">
        <f>BH52+BG52</f>
        <v>568</v>
      </c>
      <c r="BJ52" s="30">
        <f>G52+N52+U52+AB52+AI52+AP52+BD52+AW52</f>
        <v>64</v>
      </c>
      <c r="BK52" s="30">
        <f>I52+P52+W52+AD52+AK52+AY52+BF52+AR52</f>
        <v>256</v>
      </c>
      <c r="BL52" s="25">
        <f>(BN52-0.75)*10</f>
        <v>72.5</v>
      </c>
      <c r="BM52" s="17" t="str">
        <f>IF(OR(C52&lt;20,D52&lt;30,J52&lt;20,K52&lt;30,Q52&lt;20,R52&lt;30,X52&lt;20,Y52&lt;30,AE52&lt;20,AF52&lt;30,AL52&lt;20,AM52&lt;30,AS52&lt;20,AT52&lt;30,AZ52&lt;20,BA52&lt;30),"Unsuccessful","Successful")</f>
        <v>Successful</v>
      </c>
      <c r="BN52" s="31">
        <f>BK52/32</f>
        <v>8</v>
      </c>
      <c r="BO52" s="18" t="str">
        <f>IF(BN52&lt;=4,"F",IF(BN52&lt;=4.5,"P",IF(BN52&lt;=5.5,"C",IF(BN52&lt;=6.5,"B",IF(BN52&lt;=7.5,"B+",IF(BN52&lt;=8.5,"A",IF(BN52&lt;=9.5,"A+","O")))))))</f>
        <v>A</v>
      </c>
      <c r="BP52" s="14" t="str">
        <f>IF(BN52&lt;=4,"50",IF(BN52&lt;=4.5,"50-54.99",IF(BN52&lt;=5.5,"55-59.99",IF(BN52&lt;=6.5,"60-64.99",IF(BN52&lt;=7.5,"65-69.99",IF(BN52&lt;=8.5,"70-74.99",IF(BN52&lt;=9.5,"75-79.99","10")))))))</f>
        <v>70-74.99</v>
      </c>
      <c r="BS52">
        <f>RANK(BN52,$BN$3:$BN$135)</f>
        <v>24</v>
      </c>
    </row>
    <row r="53" spans="1:71" x14ac:dyDescent="0.25">
      <c r="A53" s="14" t="str">
        <f>[2]Sheet1!$A96</f>
        <v>MMS18-20/095</v>
      </c>
      <c r="B53" s="15" t="str">
        <f>[2]Sheet1!$B96</f>
        <v>SHINDE AKSHAY SURENDRA SUPRIYA</v>
      </c>
      <c r="C53" s="16">
        <f>'[3]1st Subject'!$C97</f>
        <v>30</v>
      </c>
      <c r="D53" s="16">
        <f>'[3]1st Subject'!$D97</f>
        <v>41</v>
      </c>
      <c r="E53" s="27">
        <f>D53+C53</f>
        <v>71</v>
      </c>
      <c r="F53" s="18" t="str">
        <f>IF(E53&lt;50,"F",IF(E53&lt;=54.99,"P",IF(E53&lt;=59.99,"C",IF(E53&lt;=64.99,"B",IF(E53&lt;=69.99,"B+",IF(E53&lt;=74.99,"A",IF(E53&lt;=79.99,"A+","O")))))))</f>
        <v>A</v>
      </c>
      <c r="G53" s="18" t="str">
        <f>IF(E53&lt;50,"0",IF(E53&lt;=54.99,"4",IF(E53&lt;=59.99,"5",IF(E53&lt;=64.99,"6",IF(E53&lt;=69.99,"7",IF(E53&lt;=74.99,"8",IF(E53&lt;=79.99,"9","10")))))))</f>
        <v>8</v>
      </c>
      <c r="H53" s="28">
        <v>4</v>
      </c>
      <c r="I53" s="29">
        <f>G53*H53</f>
        <v>32</v>
      </c>
      <c r="J53" s="16">
        <f>'[4]2nd Subject'!$C97</f>
        <v>30</v>
      </c>
      <c r="K53" s="16">
        <f>'[4]2nd Subject'!$D97</f>
        <v>41</v>
      </c>
      <c r="L53" s="27">
        <f>K53+J53</f>
        <v>71</v>
      </c>
      <c r="M53" s="18" t="str">
        <f>IF(L53&lt;50,"F",IF(L53&lt;=54.99,"P",IF(L53&lt;=59.99,"C",IF(L53&lt;=64.99,"B",IF(L53&lt;=69.99,"B+",IF(L53&lt;=74.99,"A",IF(L53&lt;=79.99,"A+","O")))))))</f>
        <v>A</v>
      </c>
      <c r="N53" s="18" t="str">
        <f>IF(L53&lt;50,"0",IF(L53&lt;=54.99,"4",IF(L53&lt;=59.99,"5",IF(L53&lt;=64.99,"6",IF(L53&lt;=69.99,"7",IF(L53&lt;=74.99,"8",IF(L53&lt;=79.99,"9","10")))))))</f>
        <v>8</v>
      </c>
      <c r="O53" s="28">
        <v>4</v>
      </c>
      <c r="P53" s="29">
        <f>N53*O53</f>
        <v>32</v>
      </c>
      <c r="Q53" s="21">
        <f>'[5]3rd Subject'!$C97</f>
        <v>30</v>
      </c>
      <c r="R53" s="21">
        <f>'[5]3rd Subject'!$D97</f>
        <v>41</v>
      </c>
      <c r="S53" s="27">
        <f>R53+Q53</f>
        <v>71</v>
      </c>
      <c r="T53" s="18" t="str">
        <f>IF(S53&lt;50,"F",IF(S53&lt;=54.99,"P",IF(S53&lt;=59.99,"C",IF(S53&lt;=64.99,"B",IF(S53&lt;=69.99,"B+",IF(S53&lt;=74.99,"A",IF(S53&lt;=79.99,"A+","O")))))))</f>
        <v>A</v>
      </c>
      <c r="U53" s="18" t="str">
        <f>IF(S53&lt;50,"0",IF(S53&lt;=54.99,"4",IF(S53&lt;=59.99,"5",IF(S53&lt;=64.99,"6",IF(S53&lt;=69.99,"7",IF(S53&lt;=74.99,"8",IF(S53&lt;=79.99,"9","10")))))))</f>
        <v>8</v>
      </c>
      <c r="V53" s="28">
        <v>4</v>
      </c>
      <c r="W53" s="29">
        <f>U53*V53</f>
        <v>32</v>
      </c>
      <c r="X53" s="22">
        <f>'[6]4th Subject'!$C97</f>
        <v>30</v>
      </c>
      <c r="Y53" s="23">
        <f>'[6]4th Subject'!$D97</f>
        <v>41</v>
      </c>
      <c r="Z53" s="27">
        <f>Y53+X53</f>
        <v>71</v>
      </c>
      <c r="AA53" s="18" t="str">
        <f>IF(Z53&lt;50,"F",IF(Z53&lt;=54.99,"P",IF(Z53&lt;=59.99,"C",IF(Z53&lt;=64.99,"B",IF(Z53&lt;=69.99,"B+",IF(Z53&lt;=74.99,"A",IF(Z53&lt;=79.99,"A+","O")))))))</f>
        <v>A</v>
      </c>
      <c r="AB53" s="18" t="str">
        <f>IF(Z53&lt;50,"0",IF(Z53&lt;=54.99,"4",IF(Z53&lt;=59.99,"5",IF(Z53&lt;=64.99,"6",IF(Z53&lt;=69.99,"7",IF(Z53&lt;=74.99,"8",IF(Z53&lt;=79.99,"9","10")))))))</f>
        <v>8</v>
      </c>
      <c r="AC53" s="28">
        <v>4</v>
      </c>
      <c r="AD53" s="29">
        <f>AB53*AC53</f>
        <v>32</v>
      </c>
      <c r="AE53" s="22">
        <f>'[7]5th Subject'!$C97</f>
        <v>30</v>
      </c>
      <c r="AF53" s="23">
        <f>'[7]5th Subject'!$D97</f>
        <v>41</v>
      </c>
      <c r="AG53" s="27">
        <f>AF53+AE53</f>
        <v>71</v>
      </c>
      <c r="AH53" s="18" t="str">
        <f>IF(AG53&lt;50,"F",IF(AG53&lt;=54.99,"P",IF(AG53&lt;=59.99,"C",IF(AG53&lt;=64.99,"B",IF(AG53&lt;=69.99,"B+",IF(AG53&lt;=74.99,"A",IF(AG53&lt;=79.99,"A+","O")))))))</f>
        <v>A</v>
      </c>
      <c r="AI53" s="18" t="str">
        <f>IF(AG53&lt;50,"0",IF(AG53&lt;=54.99,"4",IF(AG53&lt;=59.99,"5",IF(AG53&lt;=64.99,"6",IF(AG53&lt;=69.99,"7",IF(AG53&lt;=74.99,"8",IF(AG53&lt;=79.99,"9","10")))))))</f>
        <v>8</v>
      </c>
      <c r="AJ53" s="28">
        <v>4</v>
      </c>
      <c r="AK53" s="29">
        <f>AI53*AJ53</f>
        <v>32</v>
      </c>
      <c r="AL53" s="22">
        <f>'[8]6th Subject'!$C97</f>
        <v>30</v>
      </c>
      <c r="AM53" s="22">
        <f>'[8]6th Subject'!$D97</f>
        <v>41</v>
      </c>
      <c r="AN53" s="27">
        <f>AM53+AL53</f>
        <v>71</v>
      </c>
      <c r="AO53" s="18" t="str">
        <f>IF(AN53&lt;50,"F",IF(AN53&lt;=54.99,"P",IF(AN53&lt;=59.99,"C",IF(AN53&lt;=64.99,"B",IF(AN53&lt;=69.99,"B+",IF(AN53&lt;=74.99,"A",IF(AN53&lt;=79.99,"A+","O")))))))</f>
        <v>A</v>
      </c>
      <c r="AP53" s="18" t="str">
        <f>IF(AN53&lt;50,"0",IF(AN53&lt;=54.99,"4",IF(AN53&lt;=59.99,"5",IF(AN53&lt;=64.99,"6",IF(AN53&lt;=69.99,"7",IF(AN53&lt;=74.99,"8",IF(AN53&lt;=79.99,"9","10")))))))</f>
        <v>8</v>
      </c>
      <c r="AQ53" s="28">
        <v>4</v>
      </c>
      <c r="AR53" s="29">
        <f>AP53*AQ53</f>
        <v>32</v>
      </c>
      <c r="AS53" s="16">
        <f>'[9]7th Subject'!$C97</f>
        <v>30</v>
      </c>
      <c r="AT53" s="16">
        <f>'[9]7th Subject'!$D97</f>
        <v>41</v>
      </c>
      <c r="AU53" s="27">
        <f>AT53+AS53</f>
        <v>71</v>
      </c>
      <c r="AV53" s="18" t="str">
        <f>IF(AU53&lt;50,"F",IF(AU53&lt;=54.99,"P",IF(AU53&lt;=59.99,"C",IF(AU53&lt;=64.99,"B",IF(AU53&lt;=69.99,"B+",IF(AU53&lt;=74.99,"A",IF(AU53&lt;=79.99,"A+","O")))))))</f>
        <v>A</v>
      </c>
      <c r="AW53" s="18" t="str">
        <f>IF(AU53&lt;50,"0",IF(AU53&lt;=54.99,"4",IF(AU53&lt;=59.99,"5",IF(AU53&lt;=64.99,"6",IF(AU53&lt;=69.99,"7",IF(AU53&lt;=74.99,"8",IF(AU53&lt;=79.99,"9","10")))))))</f>
        <v>8</v>
      </c>
      <c r="AX53" s="28">
        <v>4</v>
      </c>
      <c r="AY53" s="29">
        <f>AW53*AX53</f>
        <v>32</v>
      </c>
      <c r="AZ53" s="22">
        <f>'[10]8th Subject'!$C97</f>
        <v>30</v>
      </c>
      <c r="BA53" s="22">
        <f>'[10]8th Subject'!$D97</f>
        <v>41</v>
      </c>
      <c r="BB53" s="27">
        <f>BA53+AZ53</f>
        <v>71</v>
      </c>
      <c r="BC53" s="18" t="str">
        <f>IF(BB53&lt;50,"F",IF(BB53&lt;=54.99,"P",IF(BB53&lt;=59.99,"C",IF(BB53&lt;=64.99,"B",IF(BB53&lt;=69.99,"B+",IF(BB53&lt;=74.99,"A",IF(BB53&lt;=79.99,"A+","O")))))))</f>
        <v>A</v>
      </c>
      <c r="BD53" s="18" t="str">
        <f>IF(BB53&lt;50,"0",IF(BB53&lt;=54.99,"4",IF(BB53&lt;=59.99,"5",IF(BB53&lt;=64.99,"6",IF(BB53&lt;=69.99,"7",IF(BB53&lt;=74.99,"8",IF(BB53&lt;=79.99,"9","10")))))))</f>
        <v>8</v>
      </c>
      <c r="BE53" s="28">
        <v>4</v>
      </c>
      <c r="BF53" s="29">
        <f>BD53*BE53</f>
        <v>32</v>
      </c>
      <c r="BG53" s="27">
        <f>AZ53+AS53+AE53+X53+J53+C53+Q53+AL53</f>
        <v>240</v>
      </c>
      <c r="BH53" s="27">
        <f>BA53+AT53+AF53+Y53+K53+D53+R53+AM53</f>
        <v>328</v>
      </c>
      <c r="BI53" s="27">
        <f>BH53+BG53</f>
        <v>568</v>
      </c>
      <c r="BJ53" s="30">
        <f>G53+N53+U53+AB53+AI53+AP53+BD53+AW53</f>
        <v>64</v>
      </c>
      <c r="BK53" s="30">
        <f>I53+P53+W53+AD53+AK53+AY53+BF53+AR53</f>
        <v>256</v>
      </c>
      <c r="BL53" s="25">
        <f>(BN53-0.75)*10</f>
        <v>72.5</v>
      </c>
      <c r="BM53" s="17" t="str">
        <f>IF(OR(C53&lt;20,D53&lt;30,J53&lt;20,K53&lt;30,Q53&lt;20,R53&lt;30,X53&lt;20,Y53&lt;30,AE53&lt;20,AF53&lt;30,AL53&lt;20,AM53&lt;30,AS53&lt;20,AT53&lt;30,AZ53&lt;20,BA53&lt;30),"Unsuccessful","Successful")</f>
        <v>Successful</v>
      </c>
      <c r="BN53" s="31">
        <f>BK53/32</f>
        <v>8</v>
      </c>
      <c r="BO53" s="18" t="str">
        <f>IF(BN53&lt;=4,"F",IF(BN53&lt;=4.5,"P",IF(BN53&lt;=5.5,"C",IF(BN53&lt;=6.5,"B",IF(BN53&lt;=7.5,"B+",IF(BN53&lt;=8.5,"A",IF(BN53&lt;=9.5,"A+","O")))))))</f>
        <v>A</v>
      </c>
      <c r="BP53" s="14" t="str">
        <f>IF(BN53&lt;=4,"50",IF(BN53&lt;=4.5,"50-54.99",IF(BN53&lt;=5.5,"55-59.99",IF(BN53&lt;=6.5,"60-64.99",IF(BN53&lt;=7.5,"65-69.99",IF(BN53&lt;=8.5,"70-74.99",IF(BN53&lt;=9.5,"75-79.99","10")))))))</f>
        <v>70-74.99</v>
      </c>
      <c r="BS53">
        <f>RANK(BN53,$BN$3:$BN$135)</f>
        <v>24</v>
      </c>
    </row>
    <row r="54" spans="1:71" x14ac:dyDescent="0.25">
      <c r="A54" s="14" t="str">
        <f>[2]Sheet1!$A106</f>
        <v>MMS18-20/105</v>
      </c>
      <c r="B54" s="15" t="str">
        <f>[2]Sheet1!$B106</f>
        <v>SOLANKI PRAKASH RAMESH SUREKHA</v>
      </c>
      <c r="C54" s="16">
        <f>'[3]1st Subject'!$C107</f>
        <v>32</v>
      </c>
      <c r="D54" s="16">
        <f>'[3]1st Subject'!$D107</f>
        <v>39</v>
      </c>
      <c r="E54" s="27">
        <f>D54+C54</f>
        <v>71</v>
      </c>
      <c r="F54" s="18" t="str">
        <f>IF(E54&lt;50,"F",IF(E54&lt;=54.99,"P",IF(E54&lt;=59.99,"C",IF(E54&lt;=64.99,"B",IF(E54&lt;=69.99,"B+",IF(E54&lt;=74.99,"A",IF(E54&lt;=79.99,"A+","O")))))))</f>
        <v>A</v>
      </c>
      <c r="G54" s="18" t="str">
        <f>IF(E54&lt;50,"0",IF(E54&lt;=54.99,"4",IF(E54&lt;=59.99,"5",IF(E54&lt;=64.99,"6",IF(E54&lt;=69.99,"7",IF(E54&lt;=74.99,"8",IF(E54&lt;=79.99,"9","10")))))))</f>
        <v>8</v>
      </c>
      <c r="H54" s="28">
        <v>4</v>
      </c>
      <c r="I54" s="29">
        <f>G54*H54</f>
        <v>32</v>
      </c>
      <c r="J54" s="16">
        <f>'[4]2nd Subject'!$C107</f>
        <v>32</v>
      </c>
      <c r="K54" s="16">
        <f>'[4]2nd Subject'!$D107</f>
        <v>39</v>
      </c>
      <c r="L54" s="27">
        <f>K54+J54</f>
        <v>71</v>
      </c>
      <c r="M54" s="18" t="str">
        <f>IF(L54&lt;50,"F",IF(L54&lt;=54.99,"P",IF(L54&lt;=59.99,"C",IF(L54&lt;=64.99,"B",IF(L54&lt;=69.99,"B+",IF(L54&lt;=74.99,"A",IF(L54&lt;=79.99,"A+","O")))))))</f>
        <v>A</v>
      </c>
      <c r="N54" s="18" t="str">
        <f>IF(L54&lt;50,"0",IF(L54&lt;=54.99,"4",IF(L54&lt;=59.99,"5",IF(L54&lt;=64.99,"6",IF(L54&lt;=69.99,"7",IF(L54&lt;=74.99,"8",IF(L54&lt;=79.99,"9","10")))))))</f>
        <v>8</v>
      </c>
      <c r="O54" s="28">
        <v>4</v>
      </c>
      <c r="P54" s="29">
        <f>N54*O54</f>
        <v>32</v>
      </c>
      <c r="Q54" s="21">
        <f>'[5]3rd Subject'!$C107</f>
        <v>32</v>
      </c>
      <c r="R54" s="21">
        <f>'[5]3rd Subject'!$D107</f>
        <v>39</v>
      </c>
      <c r="S54" s="27">
        <f>R54+Q54</f>
        <v>71</v>
      </c>
      <c r="T54" s="18" t="str">
        <f>IF(S54&lt;50,"F",IF(S54&lt;=54.99,"P",IF(S54&lt;=59.99,"C",IF(S54&lt;=64.99,"B",IF(S54&lt;=69.99,"B+",IF(S54&lt;=74.99,"A",IF(S54&lt;=79.99,"A+","O")))))))</f>
        <v>A</v>
      </c>
      <c r="U54" s="18" t="str">
        <f>IF(S54&lt;50,"0",IF(S54&lt;=54.99,"4",IF(S54&lt;=59.99,"5",IF(S54&lt;=64.99,"6",IF(S54&lt;=69.99,"7",IF(S54&lt;=74.99,"8",IF(S54&lt;=79.99,"9","10")))))))</f>
        <v>8</v>
      </c>
      <c r="V54" s="28">
        <v>4</v>
      </c>
      <c r="W54" s="29">
        <f>U54*V54</f>
        <v>32</v>
      </c>
      <c r="X54" s="22">
        <f>'[6]4th Subject'!$C107</f>
        <v>32</v>
      </c>
      <c r="Y54" s="23">
        <f>'[6]4th Subject'!$D107</f>
        <v>39</v>
      </c>
      <c r="Z54" s="27">
        <f>Y54+X54</f>
        <v>71</v>
      </c>
      <c r="AA54" s="18" t="str">
        <f>IF(Z54&lt;50,"F",IF(Z54&lt;=54.99,"P",IF(Z54&lt;=59.99,"C",IF(Z54&lt;=64.99,"B",IF(Z54&lt;=69.99,"B+",IF(Z54&lt;=74.99,"A",IF(Z54&lt;=79.99,"A+","O")))))))</f>
        <v>A</v>
      </c>
      <c r="AB54" s="18" t="str">
        <f>IF(Z54&lt;50,"0",IF(Z54&lt;=54.99,"4",IF(Z54&lt;=59.99,"5",IF(Z54&lt;=64.99,"6",IF(Z54&lt;=69.99,"7",IF(Z54&lt;=74.99,"8",IF(Z54&lt;=79.99,"9","10")))))))</f>
        <v>8</v>
      </c>
      <c r="AC54" s="28">
        <v>4</v>
      </c>
      <c r="AD54" s="29">
        <f>AB54*AC54</f>
        <v>32</v>
      </c>
      <c r="AE54" s="22">
        <f>'[7]5th Subject'!$C107</f>
        <v>32</v>
      </c>
      <c r="AF54" s="23">
        <f>'[7]5th Subject'!$D107</f>
        <v>39</v>
      </c>
      <c r="AG54" s="27">
        <f>AF54+AE54</f>
        <v>71</v>
      </c>
      <c r="AH54" s="18" t="str">
        <f>IF(AG54&lt;50,"F",IF(AG54&lt;=54.99,"P",IF(AG54&lt;=59.99,"C",IF(AG54&lt;=64.99,"B",IF(AG54&lt;=69.99,"B+",IF(AG54&lt;=74.99,"A",IF(AG54&lt;=79.99,"A+","O")))))))</f>
        <v>A</v>
      </c>
      <c r="AI54" s="18" t="str">
        <f>IF(AG54&lt;50,"0",IF(AG54&lt;=54.99,"4",IF(AG54&lt;=59.99,"5",IF(AG54&lt;=64.99,"6",IF(AG54&lt;=69.99,"7",IF(AG54&lt;=74.99,"8",IF(AG54&lt;=79.99,"9","10")))))))</f>
        <v>8</v>
      </c>
      <c r="AJ54" s="28">
        <v>4</v>
      </c>
      <c r="AK54" s="29">
        <f>AI54*AJ54</f>
        <v>32</v>
      </c>
      <c r="AL54" s="22">
        <f>'[8]6th Subject'!$C107</f>
        <v>32</v>
      </c>
      <c r="AM54" s="22">
        <f>'[8]6th Subject'!$D107</f>
        <v>39</v>
      </c>
      <c r="AN54" s="27">
        <f>AM54+AL54</f>
        <v>71</v>
      </c>
      <c r="AO54" s="18" t="str">
        <f>IF(AN54&lt;50,"F",IF(AN54&lt;=54.99,"P",IF(AN54&lt;=59.99,"C",IF(AN54&lt;=64.99,"B",IF(AN54&lt;=69.99,"B+",IF(AN54&lt;=74.99,"A",IF(AN54&lt;=79.99,"A+","O")))))))</f>
        <v>A</v>
      </c>
      <c r="AP54" s="18" t="str">
        <f>IF(AN54&lt;50,"0",IF(AN54&lt;=54.99,"4",IF(AN54&lt;=59.99,"5",IF(AN54&lt;=64.99,"6",IF(AN54&lt;=69.99,"7",IF(AN54&lt;=74.99,"8",IF(AN54&lt;=79.99,"9","10")))))))</f>
        <v>8</v>
      </c>
      <c r="AQ54" s="28">
        <v>4</v>
      </c>
      <c r="AR54" s="29">
        <f>AP54*AQ54</f>
        <v>32</v>
      </c>
      <c r="AS54" s="16">
        <f>'[9]7th Subject'!$C107</f>
        <v>32</v>
      </c>
      <c r="AT54" s="16">
        <f>'[9]7th Subject'!$D107</f>
        <v>39</v>
      </c>
      <c r="AU54" s="27">
        <f>AT54+AS54</f>
        <v>71</v>
      </c>
      <c r="AV54" s="18" t="str">
        <f>IF(AU54&lt;50,"F",IF(AU54&lt;=54.99,"P",IF(AU54&lt;=59.99,"C",IF(AU54&lt;=64.99,"B",IF(AU54&lt;=69.99,"B+",IF(AU54&lt;=74.99,"A",IF(AU54&lt;=79.99,"A+","O")))))))</f>
        <v>A</v>
      </c>
      <c r="AW54" s="18" t="str">
        <f>IF(AU54&lt;50,"0",IF(AU54&lt;=54.99,"4",IF(AU54&lt;=59.99,"5",IF(AU54&lt;=64.99,"6",IF(AU54&lt;=69.99,"7",IF(AU54&lt;=74.99,"8",IF(AU54&lt;=79.99,"9","10")))))))</f>
        <v>8</v>
      </c>
      <c r="AX54" s="28">
        <v>4</v>
      </c>
      <c r="AY54" s="29">
        <f>AW54*AX54</f>
        <v>32</v>
      </c>
      <c r="AZ54" s="22">
        <f>'[10]8th Subject'!$C107</f>
        <v>32</v>
      </c>
      <c r="BA54" s="22">
        <f>'[10]8th Subject'!$D107</f>
        <v>39</v>
      </c>
      <c r="BB54" s="27">
        <f>BA54+AZ54</f>
        <v>71</v>
      </c>
      <c r="BC54" s="18" t="str">
        <f>IF(BB54&lt;50,"F",IF(BB54&lt;=54.99,"P",IF(BB54&lt;=59.99,"C",IF(BB54&lt;=64.99,"B",IF(BB54&lt;=69.99,"B+",IF(BB54&lt;=74.99,"A",IF(BB54&lt;=79.99,"A+","O")))))))</f>
        <v>A</v>
      </c>
      <c r="BD54" s="18" t="str">
        <f>IF(BB54&lt;50,"0",IF(BB54&lt;=54.99,"4",IF(BB54&lt;=59.99,"5",IF(BB54&lt;=64.99,"6",IF(BB54&lt;=69.99,"7",IF(BB54&lt;=74.99,"8",IF(BB54&lt;=79.99,"9","10")))))))</f>
        <v>8</v>
      </c>
      <c r="BE54" s="28">
        <v>4</v>
      </c>
      <c r="BF54" s="29">
        <f>BD54*BE54</f>
        <v>32</v>
      </c>
      <c r="BG54" s="27">
        <f>AZ54+AS54+AE54+X54+J54+C54+Q54+AL54</f>
        <v>256</v>
      </c>
      <c r="BH54" s="27">
        <f>BA54+AT54+AF54+Y54+K54+D54+R54+AM54</f>
        <v>312</v>
      </c>
      <c r="BI54" s="27">
        <f>BH54+BG54</f>
        <v>568</v>
      </c>
      <c r="BJ54" s="30">
        <f>G54+N54+U54+AB54+AI54+AP54+BD54+AW54</f>
        <v>64</v>
      </c>
      <c r="BK54" s="30">
        <f>I54+P54+W54+AD54+AK54+AY54+BF54+AR54</f>
        <v>256</v>
      </c>
      <c r="BL54" s="25">
        <f>(BN54-0.75)*10</f>
        <v>72.5</v>
      </c>
      <c r="BM54" s="17" t="str">
        <f>IF(OR(C54&lt;20,D54&lt;30,J54&lt;20,K54&lt;30,Q54&lt;20,R54&lt;30,X54&lt;20,Y54&lt;30,AE54&lt;20,AF54&lt;30,AL54&lt;20,AM54&lt;30,AS54&lt;20,AT54&lt;30,AZ54&lt;20,BA54&lt;30),"Unsuccessful","Successful")</f>
        <v>Successful</v>
      </c>
      <c r="BN54" s="31">
        <f>BK54/32</f>
        <v>8</v>
      </c>
      <c r="BO54" s="18" t="str">
        <f>IF(BN54&lt;=4,"F",IF(BN54&lt;=4.5,"P",IF(BN54&lt;=5.5,"C",IF(BN54&lt;=6.5,"B",IF(BN54&lt;=7.5,"B+",IF(BN54&lt;=8.5,"A",IF(BN54&lt;=9.5,"A+","O")))))))</f>
        <v>A</v>
      </c>
      <c r="BP54" s="14" t="str">
        <f>IF(BN54&lt;=4,"50",IF(BN54&lt;=4.5,"50-54.99",IF(BN54&lt;=5.5,"55-59.99",IF(BN54&lt;=6.5,"60-64.99",IF(BN54&lt;=7.5,"65-69.99",IF(BN54&lt;=8.5,"70-74.99",IF(BN54&lt;=9.5,"75-79.99","10")))))))</f>
        <v>70-74.99</v>
      </c>
      <c r="BS54">
        <f>RANK(BN54,$BN$3:$BN$135)</f>
        <v>24</v>
      </c>
    </row>
    <row r="55" spans="1:71" x14ac:dyDescent="0.25">
      <c r="A55" s="14" t="str">
        <f>[2]Sheet1!$A107</f>
        <v>MMS18-20/106</v>
      </c>
      <c r="B55" s="15" t="str">
        <f>[2]Sheet1!$B107</f>
        <v>/SURYAVANSHI MAYURI DILIP BHAGIRATHI</v>
      </c>
      <c r="C55" s="16">
        <f>'[3]1st Subject'!$C108</f>
        <v>30</v>
      </c>
      <c r="D55" s="16">
        <f>'[3]1st Subject'!$D108</f>
        <v>41</v>
      </c>
      <c r="E55" s="27">
        <f>D55+C55</f>
        <v>71</v>
      </c>
      <c r="F55" s="18" t="str">
        <f>IF(E55&lt;50,"F",IF(E55&lt;=54.99,"P",IF(E55&lt;=59.99,"C",IF(E55&lt;=64.99,"B",IF(E55&lt;=69.99,"B+",IF(E55&lt;=74.99,"A",IF(E55&lt;=79.99,"A+","O")))))))</f>
        <v>A</v>
      </c>
      <c r="G55" s="18" t="str">
        <f>IF(E55&lt;50,"0",IF(E55&lt;=54.99,"4",IF(E55&lt;=59.99,"5",IF(E55&lt;=64.99,"6",IF(E55&lt;=69.99,"7",IF(E55&lt;=74.99,"8",IF(E55&lt;=79.99,"9","10")))))))</f>
        <v>8</v>
      </c>
      <c r="H55" s="28">
        <v>4</v>
      </c>
      <c r="I55" s="29">
        <f>G55*H55</f>
        <v>32</v>
      </c>
      <c r="J55" s="16">
        <f>'[4]2nd Subject'!$C108</f>
        <v>30</v>
      </c>
      <c r="K55" s="16">
        <f>'[4]2nd Subject'!$D108</f>
        <v>41</v>
      </c>
      <c r="L55" s="27">
        <f>K55+J55</f>
        <v>71</v>
      </c>
      <c r="M55" s="18" t="str">
        <f>IF(L55&lt;50,"F",IF(L55&lt;=54.99,"P",IF(L55&lt;=59.99,"C",IF(L55&lt;=64.99,"B",IF(L55&lt;=69.99,"B+",IF(L55&lt;=74.99,"A",IF(L55&lt;=79.99,"A+","O")))))))</f>
        <v>A</v>
      </c>
      <c r="N55" s="18" t="str">
        <f>IF(L55&lt;50,"0",IF(L55&lt;=54.99,"4",IF(L55&lt;=59.99,"5",IF(L55&lt;=64.99,"6",IF(L55&lt;=69.99,"7",IF(L55&lt;=74.99,"8",IF(L55&lt;=79.99,"9","10")))))))</f>
        <v>8</v>
      </c>
      <c r="O55" s="28">
        <v>4</v>
      </c>
      <c r="P55" s="29">
        <f>N55*O55</f>
        <v>32</v>
      </c>
      <c r="Q55" s="21">
        <f>'[5]3rd Subject'!$C108</f>
        <v>30</v>
      </c>
      <c r="R55" s="21">
        <f>'[5]3rd Subject'!$D108</f>
        <v>41</v>
      </c>
      <c r="S55" s="27">
        <f>R55+Q55</f>
        <v>71</v>
      </c>
      <c r="T55" s="18" t="str">
        <f>IF(S55&lt;50,"F",IF(S55&lt;=54.99,"P",IF(S55&lt;=59.99,"C",IF(S55&lt;=64.99,"B",IF(S55&lt;=69.99,"B+",IF(S55&lt;=74.99,"A",IF(S55&lt;=79.99,"A+","O")))))))</f>
        <v>A</v>
      </c>
      <c r="U55" s="18" t="str">
        <f>IF(S55&lt;50,"0",IF(S55&lt;=54.99,"4",IF(S55&lt;=59.99,"5",IF(S55&lt;=64.99,"6",IF(S55&lt;=69.99,"7",IF(S55&lt;=74.99,"8",IF(S55&lt;=79.99,"9","10")))))))</f>
        <v>8</v>
      </c>
      <c r="V55" s="28">
        <v>4</v>
      </c>
      <c r="W55" s="29">
        <f>U55*V55</f>
        <v>32</v>
      </c>
      <c r="X55" s="22">
        <f>'[6]4th Subject'!$C108</f>
        <v>30</v>
      </c>
      <c r="Y55" s="23">
        <f>'[6]4th Subject'!$D108</f>
        <v>41</v>
      </c>
      <c r="Z55" s="27">
        <f>Y55+X55</f>
        <v>71</v>
      </c>
      <c r="AA55" s="18" t="str">
        <f>IF(Z55&lt;50,"F",IF(Z55&lt;=54.99,"P",IF(Z55&lt;=59.99,"C",IF(Z55&lt;=64.99,"B",IF(Z55&lt;=69.99,"B+",IF(Z55&lt;=74.99,"A",IF(Z55&lt;=79.99,"A+","O")))))))</f>
        <v>A</v>
      </c>
      <c r="AB55" s="18" t="str">
        <f>IF(Z55&lt;50,"0",IF(Z55&lt;=54.99,"4",IF(Z55&lt;=59.99,"5",IF(Z55&lt;=64.99,"6",IF(Z55&lt;=69.99,"7",IF(Z55&lt;=74.99,"8",IF(Z55&lt;=79.99,"9","10")))))))</f>
        <v>8</v>
      </c>
      <c r="AC55" s="28">
        <v>4</v>
      </c>
      <c r="AD55" s="29">
        <f>AB55*AC55</f>
        <v>32</v>
      </c>
      <c r="AE55" s="22">
        <f>'[7]5th Subject'!$C108</f>
        <v>30</v>
      </c>
      <c r="AF55" s="23">
        <f>'[7]5th Subject'!$D108</f>
        <v>41</v>
      </c>
      <c r="AG55" s="27">
        <f>AF55+AE55</f>
        <v>71</v>
      </c>
      <c r="AH55" s="18" t="str">
        <f>IF(AG55&lt;50,"F",IF(AG55&lt;=54.99,"P",IF(AG55&lt;=59.99,"C",IF(AG55&lt;=64.99,"B",IF(AG55&lt;=69.99,"B+",IF(AG55&lt;=74.99,"A",IF(AG55&lt;=79.99,"A+","O")))))))</f>
        <v>A</v>
      </c>
      <c r="AI55" s="18" t="str">
        <f>IF(AG55&lt;50,"0",IF(AG55&lt;=54.99,"4",IF(AG55&lt;=59.99,"5",IF(AG55&lt;=64.99,"6",IF(AG55&lt;=69.99,"7",IF(AG55&lt;=74.99,"8",IF(AG55&lt;=79.99,"9","10")))))))</f>
        <v>8</v>
      </c>
      <c r="AJ55" s="28">
        <v>4</v>
      </c>
      <c r="AK55" s="29">
        <f>AI55*AJ55</f>
        <v>32</v>
      </c>
      <c r="AL55" s="22">
        <f>'[8]6th Subject'!$C108</f>
        <v>30</v>
      </c>
      <c r="AM55" s="22">
        <f>'[8]6th Subject'!$D108</f>
        <v>41</v>
      </c>
      <c r="AN55" s="27">
        <f>AM55+AL55</f>
        <v>71</v>
      </c>
      <c r="AO55" s="18" t="str">
        <f>IF(AN55&lt;50,"F",IF(AN55&lt;=54.99,"P",IF(AN55&lt;=59.99,"C",IF(AN55&lt;=64.99,"B",IF(AN55&lt;=69.99,"B+",IF(AN55&lt;=74.99,"A",IF(AN55&lt;=79.99,"A+","O")))))))</f>
        <v>A</v>
      </c>
      <c r="AP55" s="18" t="str">
        <f>IF(AN55&lt;50,"0",IF(AN55&lt;=54.99,"4",IF(AN55&lt;=59.99,"5",IF(AN55&lt;=64.99,"6",IF(AN55&lt;=69.99,"7",IF(AN55&lt;=74.99,"8",IF(AN55&lt;=79.99,"9","10")))))))</f>
        <v>8</v>
      </c>
      <c r="AQ55" s="28">
        <v>4</v>
      </c>
      <c r="AR55" s="29">
        <f>AP55*AQ55</f>
        <v>32</v>
      </c>
      <c r="AS55" s="16">
        <f>'[9]7th Subject'!$C108</f>
        <v>30</v>
      </c>
      <c r="AT55" s="16">
        <f>'[9]7th Subject'!$D108</f>
        <v>41</v>
      </c>
      <c r="AU55" s="27">
        <f>AT55+AS55</f>
        <v>71</v>
      </c>
      <c r="AV55" s="18" t="str">
        <f>IF(AU55&lt;50,"F",IF(AU55&lt;=54.99,"P",IF(AU55&lt;=59.99,"C",IF(AU55&lt;=64.99,"B",IF(AU55&lt;=69.99,"B+",IF(AU55&lt;=74.99,"A",IF(AU55&lt;=79.99,"A+","O")))))))</f>
        <v>A</v>
      </c>
      <c r="AW55" s="18" t="str">
        <f>IF(AU55&lt;50,"0",IF(AU55&lt;=54.99,"4",IF(AU55&lt;=59.99,"5",IF(AU55&lt;=64.99,"6",IF(AU55&lt;=69.99,"7",IF(AU55&lt;=74.99,"8",IF(AU55&lt;=79.99,"9","10")))))))</f>
        <v>8</v>
      </c>
      <c r="AX55" s="28">
        <v>4</v>
      </c>
      <c r="AY55" s="29">
        <f>AW55*AX55</f>
        <v>32</v>
      </c>
      <c r="AZ55" s="22">
        <f>'[10]8th Subject'!$C108</f>
        <v>30</v>
      </c>
      <c r="BA55" s="22">
        <f>'[10]8th Subject'!$D108</f>
        <v>41</v>
      </c>
      <c r="BB55" s="27">
        <f>BA55+AZ55</f>
        <v>71</v>
      </c>
      <c r="BC55" s="18" t="str">
        <f>IF(BB55&lt;50,"F",IF(BB55&lt;=54.99,"P",IF(BB55&lt;=59.99,"C",IF(BB55&lt;=64.99,"B",IF(BB55&lt;=69.99,"B+",IF(BB55&lt;=74.99,"A",IF(BB55&lt;=79.99,"A+","O")))))))</f>
        <v>A</v>
      </c>
      <c r="BD55" s="18" t="str">
        <f>IF(BB55&lt;50,"0",IF(BB55&lt;=54.99,"4",IF(BB55&lt;=59.99,"5",IF(BB55&lt;=64.99,"6",IF(BB55&lt;=69.99,"7",IF(BB55&lt;=74.99,"8",IF(BB55&lt;=79.99,"9","10")))))))</f>
        <v>8</v>
      </c>
      <c r="BE55" s="28">
        <v>4</v>
      </c>
      <c r="BF55" s="29">
        <f>BD55*BE55</f>
        <v>32</v>
      </c>
      <c r="BG55" s="27">
        <f>AZ55+AS55+AE55+X55+J55+C55+Q55+AL55</f>
        <v>240</v>
      </c>
      <c r="BH55" s="27">
        <f>BA55+AT55+AF55+Y55+K55+D55+R55+AM55</f>
        <v>328</v>
      </c>
      <c r="BI55" s="27">
        <f>BH55+BG55</f>
        <v>568</v>
      </c>
      <c r="BJ55" s="30">
        <f>G55+N55+U55+AB55+AI55+AP55+BD55+AW55</f>
        <v>64</v>
      </c>
      <c r="BK55" s="30">
        <f>I55+P55+W55+AD55+AK55+AY55+BF55+AR55</f>
        <v>256</v>
      </c>
      <c r="BL55" s="25">
        <f>(BN55-0.75)*10</f>
        <v>72.5</v>
      </c>
      <c r="BM55" s="17" t="str">
        <f>IF(OR(C55&lt;20,D55&lt;30,J55&lt;20,K55&lt;30,Q55&lt;20,R55&lt;30,X55&lt;20,Y55&lt;30,AE55&lt;20,AF55&lt;30,AL55&lt;20,AM55&lt;30,AS55&lt;20,AT55&lt;30,AZ55&lt;20,BA55&lt;30),"Unsuccessful","Successful")</f>
        <v>Successful</v>
      </c>
      <c r="BN55" s="31">
        <f>BK55/32</f>
        <v>8</v>
      </c>
      <c r="BO55" s="18" t="str">
        <f>IF(BN55&lt;=4,"F",IF(BN55&lt;=4.5,"P",IF(BN55&lt;=5.5,"C",IF(BN55&lt;=6.5,"B",IF(BN55&lt;=7.5,"B+",IF(BN55&lt;=8.5,"A",IF(BN55&lt;=9.5,"A+","O")))))))</f>
        <v>A</v>
      </c>
      <c r="BP55" s="14" t="str">
        <f>IF(BN55&lt;=4,"50",IF(BN55&lt;=4.5,"50-54.99",IF(BN55&lt;=5.5,"55-59.99",IF(BN55&lt;=6.5,"60-64.99",IF(BN55&lt;=7.5,"65-69.99",IF(BN55&lt;=8.5,"70-74.99",IF(BN55&lt;=9.5,"75-79.99","10")))))))</f>
        <v>70-74.99</v>
      </c>
      <c r="BS55">
        <f>RANK(BN55,$BN$3:$BN$135)</f>
        <v>24</v>
      </c>
    </row>
    <row r="56" spans="1:71" x14ac:dyDescent="0.25">
      <c r="A56" s="14" t="str">
        <f>[2]Sheet1!$A117</f>
        <v>MMS18-20/116</v>
      </c>
      <c r="B56" s="15" t="str">
        <f>[2]Sheet1!$B117</f>
        <v>WANI SHUBHAM RAJENDRA  JYOTI</v>
      </c>
      <c r="C56" s="16">
        <f>'[3]1st Subject'!$C118</f>
        <v>32</v>
      </c>
      <c r="D56" s="16">
        <f>'[3]1st Subject'!$D118</f>
        <v>39</v>
      </c>
      <c r="E56" s="27">
        <f>D56+C56</f>
        <v>71</v>
      </c>
      <c r="F56" s="18" t="str">
        <f>IF(E56&lt;50,"F",IF(E56&lt;=54.99,"P",IF(E56&lt;=59.99,"C",IF(E56&lt;=64.99,"B",IF(E56&lt;=69.99,"B+",IF(E56&lt;=74.99,"A",IF(E56&lt;=79.99,"A+","O")))))))</f>
        <v>A</v>
      </c>
      <c r="G56" s="18" t="str">
        <f>IF(E56&lt;50,"0",IF(E56&lt;=54.99,"4",IF(E56&lt;=59.99,"5",IF(E56&lt;=64.99,"6",IF(E56&lt;=69.99,"7",IF(E56&lt;=74.99,"8",IF(E56&lt;=79.99,"9","10")))))))</f>
        <v>8</v>
      </c>
      <c r="H56" s="28">
        <v>4</v>
      </c>
      <c r="I56" s="29">
        <f>G56*H56</f>
        <v>32</v>
      </c>
      <c r="J56" s="16">
        <f>'[4]2nd Subject'!$C118</f>
        <v>32</v>
      </c>
      <c r="K56" s="16">
        <f>'[4]2nd Subject'!$D118</f>
        <v>39</v>
      </c>
      <c r="L56" s="27">
        <f>K56+J56</f>
        <v>71</v>
      </c>
      <c r="M56" s="18" t="str">
        <f>IF(L56&lt;50,"F",IF(L56&lt;=54.99,"P",IF(L56&lt;=59.99,"C",IF(L56&lt;=64.99,"B",IF(L56&lt;=69.99,"B+",IF(L56&lt;=74.99,"A",IF(L56&lt;=79.99,"A+","O")))))))</f>
        <v>A</v>
      </c>
      <c r="N56" s="18" t="str">
        <f>IF(L56&lt;50,"0",IF(L56&lt;=54.99,"4",IF(L56&lt;=59.99,"5",IF(L56&lt;=64.99,"6",IF(L56&lt;=69.99,"7",IF(L56&lt;=74.99,"8",IF(L56&lt;=79.99,"9","10")))))))</f>
        <v>8</v>
      </c>
      <c r="O56" s="28">
        <v>4</v>
      </c>
      <c r="P56" s="29">
        <f>N56*O56</f>
        <v>32</v>
      </c>
      <c r="Q56" s="21">
        <f>'[5]3rd Subject'!$C118</f>
        <v>32</v>
      </c>
      <c r="R56" s="21">
        <f>'[5]3rd Subject'!$D118</f>
        <v>39</v>
      </c>
      <c r="S56" s="27">
        <f>R56+Q56</f>
        <v>71</v>
      </c>
      <c r="T56" s="18" t="str">
        <f>IF(S56&lt;50,"F",IF(S56&lt;=54.99,"P",IF(S56&lt;=59.99,"C",IF(S56&lt;=64.99,"B",IF(S56&lt;=69.99,"B+",IF(S56&lt;=74.99,"A",IF(S56&lt;=79.99,"A+","O")))))))</f>
        <v>A</v>
      </c>
      <c r="U56" s="18" t="str">
        <f>IF(S56&lt;50,"0",IF(S56&lt;=54.99,"4",IF(S56&lt;=59.99,"5",IF(S56&lt;=64.99,"6",IF(S56&lt;=69.99,"7",IF(S56&lt;=74.99,"8",IF(S56&lt;=79.99,"9","10")))))))</f>
        <v>8</v>
      </c>
      <c r="V56" s="28">
        <v>4</v>
      </c>
      <c r="W56" s="29">
        <f>U56*V56</f>
        <v>32</v>
      </c>
      <c r="X56" s="22">
        <f>'[6]4th Subject'!$C118</f>
        <v>32</v>
      </c>
      <c r="Y56" s="23">
        <f>'[6]4th Subject'!$D118</f>
        <v>39</v>
      </c>
      <c r="Z56" s="27">
        <f>Y56+X56</f>
        <v>71</v>
      </c>
      <c r="AA56" s="18" t="str">
        <f>IF(Z56&lt;50,"F",IF(Z56&lt;=54.99,"P",IF(Z56&lt;=59.99,"C",IF(Z56&lt;=64.99,"B",IF(Z56&lt;=69.99,"B+",IF(Z56&lt;=74.99,"A",IF(Z56&lt;=79.99,"A+","O")))))))</f>
        <v>A</v>
      </c>
      <c r="AB56" s="18" t="str">
        <f>IF(Z56&lt;50,"0",IF(Z56&lt;=54.99,"4",IF(Z56&lt;=59.99,"5",IF(Z56&lt;=64.99,"6",IF(Z56&lt;=69.99,"7",IF(Z56&lt;=74.99,"8",IF(Z56&lt;=79.99,"9","10")))))))</f>
        <v>8</v>
      </c>
      <c r="AC56" s="28">
        <v>4</v>
      </c>
      <c r="AD56" s="29">
        <f>AB56*AC56</f>
        <v>32</v>
      </c>
      <c r="AE56" s="22">
        <f>'[7]5th Subject'!$C118</f>
        <v>32</v>
      </c>
      <c r="AF56" s="23">
        <f>'[7]5th Subject'!$D118</f>
        <v>39</v>
      </c>
      <c r="AG56" s="27">
        <f>AF56+AE56</f>
        <v>71</v>
      </c>
      <c r="AH56" s="18" t="str">
        <f>IF(AG56&lt;50,"F",IF(AG56&lt;=54.99,"P",IF(AG56&lt;=59.99,"C",IF(AG56&lt;=64.99,"B",IF(AG56&lt;=69.99,"B+",IF(AG56&lt;=74.99,"A",IF(AG56&lt;=79.99,"A+","O")))))))</f>
        <v>A</v>
      </c>
      <c r="AI56" s="18" t="str">
        <f>IF(AG56&lt;50,"0",IF(AG56&lt;=54.99,"4",IF(AG56&lt;=59.99,"5",IF(AG56&lt;=64.99,"6",IF(AG56&lt;=69.99,"7",IF(AG56&lt;=74.99,"8",IF(AG56&lt;=79.99,"9","10")))))))</f>
        <v>8</v>
      </c>
      <c r="AJ56" s="28">
        <v>4</v>
      </c>
      <c r="AK56" s="29">
        <f>AI56*AJ56</f>
        <v>32</v>
      </c>
      <c r="AL56" s="22">
        <f>'[8]6th Subject'!$C118</f>
        <v>32</v>
      </c>
      <c r="AM56" s="22">
        <f>'[8]6th Subject'!$D118</f>
        <v>39</v>
      </c>
      <c r="AN56" s="27">
        <f>AM56+AL56</f>
        <v>71</v>
      </c>
      <c r="AO56" s="18" t="str">
        <f>IF(AN56&lt;50,"F",IF(AN56&lt;=54.99,"P",IF(AN56&lt;=59.99,"C",IF(AN56&lt;=64.99,"B",IF(AN56&lt;=69.99,"B+",IF(AN56&lt;=74.99,"A",IF(AN56&lt;=79.99,"A+","O")))))))</f>
        <v>A</v>
      </c>
      <c r="AP56" s="18" t="str">
        <f>IF(AN56&lt;50,"0",IF(AN56&lt;=54.99,"4",IF(AN56&lt;=59.99,"5",IF(AN56&lt;=64.99,"6",IF(AN56&lt;=69.99,"7",IF(AN56&lt;=74.99,"8",IF(AN56&lt;=79.99,"9","10")))))))</f>
        <v>8</v>
      </c>
      <c r="AQ56" s="28">
        <v>4</v>
      </c>
      <c r="AR56" s="29">
        <f>AP56*AQ56</f>
        <v>32</v>
      </c>
      <c r="AS56" s="16">
        <f>'[9]7th Subject'!$C118</f>
        <v>32</v>
      </c>
      <c r="AT56" s="16">
        <f>'[9]7th Subject'!$D118</f>
        <v>39</v>
      </c>
      <c r="AU56" s="27">
        <f>AT56+AS56</f>
        <v>71</v>
      </c>
      <c r="AV56" s="18" t="str">
        <f>IF(AU56&lt;50,"F",IF(AU56&lt;=54.99,"P",IF(AU56&lt;=59.99,"C",IF(AU56&lt;=64.99,"B",IF(AU56&lt;=69.99,"B+",IF(AU56&lt;=74.99,"A",IF(AU56&lt;=79.99,"A+","O")))))))</f>
        <v>A</v>
      </c>
      <c r="AW56" s="18" t="str">
        <f>IF(AU56&lt;50,"0",IF(AU56&lt;=54.99,"4",IF(AU56&lt;=59.99,"5",IF(AU56&lt;=64.99,"6",IF(AU56&lt;=69.99,"7",IF(AU56&lt;=74.99,"8",IF(AU56&lt;=79.99,"9","10")))))))</f>
        <v>8</v>
      </c>
      <c r="AX56" s="28">
        <v>4</v>
      </c>
      <c r="AY56" s="29">
        <f>AW56*AX56</f>
        <v>32</v>
      </c>
      <c r="AZ56" s="22">
        <f>'[10]8th Subject'!$C118</f>
        <v>32</v>
      </c>
      <c r="BA56" s="22">
        <f>'[10]8th Subject'!$D118</f>
        <v>39</v>
      </c>
      <c r="BB56" s="27">
        <f>BA56+AZ56</f>
        <v>71</v>
      </c>
      <c r="BC56" s="18" t="str">
        <f>IF(BB56&lt;50,"F",IF(BB56&lt;=54.99,"P",IF(BB56&lt;=59.99,"C",IF(BB56&lt;=64.99,"B",IF(BB56&lt;=69.99,"B+",IF(BB56&lt;=74.99,"A",IF(BB56&lt;=79.99,"A+","O")))))))</f>
        <v>A</v>
      </c>
      <c r="BD56" s="18" t="str">
        <f>IF(BB56&lt;50,"0",IF(BB56&lt;=54.99,"4",IF(BB56&lt;=59.99,"5",IF(BB56&lt;=64.99,"6",IF(BB56&lt;=69.99,"7",IF(BB56&lt;=74.99,"8",IF(BB56&lt;=79.99,"9","10")))))))</f>
        <v>8</v>
      </c>
      <c r="BE56" s="28">
        <v>4</v>
      </c>
      <c r="BF56" s="29">
        <f>BD56*BE56</f>
        <v>32</v>
      </c>
      <c r="BG56" s="27">
        <f>AZ56+AS56+AE56+X56+J56+C56+Q56+AL56</f>
        <v>256</v>
      </c>
      <c r="BH56" s="27">
        <f>BA56+AT56+AF56+Y56+K56+D56+R56+AM56</f>
        <v>312</v>
      </c>
      <c r="BI56" s="27">
        <f>BH56+BG56</f>
        <v>568</v>
      </c>
      <c r="BJ56" s="30">
        <f>G56+N56+U56+AB56+AI56+AP56+BD56+AW56</f>
        <v>64</v>
      </c>
      <c r="BK56" s="30">
        <f>I56+P56+W56+AD56+AK56+AY56+BF56+AR56</f>
        <v>256</v>
      </c>
      <c r="BL56" s="25">
        <f>(BN56-0.75)*10</f>
        <v>72.5</v>
      </c>
      <c r="BM56" s="17" t="str">
        <f>IF(OR(C56&lt;20,D56&lt;30,J56&lt;20,K56&lt;30,Q56&lt;20,R56&lt;30,X56&lt;20,Y56&lt;30,AE56&lt;20,AF56&lt;30,AL56&lt;20,AM56&lt;30,AS56&lt;20,AT56&lt;30,AZ56&lt;20,BA56&lt;30),"Unsuccessful","Successful")</f>
        <v>Successful</v>
      </c>
      <c r="BN56" s="31">
        <f>BK56/32</f>
        <v>8</v>
      </c>
      <c r="BO56" s="18" t="str">
        <f>IF(BN56&lt;=4,"F",IF(BN56&lt;=4.5,"P",IF(BN56&lt;=5.5,"C",IF(BN56&lt;=6.5,"B",IF(BN56&lt;=7.5,"B+",IF(BN56&lt;=8.5,"A",IF(BN56&lt;=9.5,"A+","O")))))))</f>
        <v>A</v>
      </c>
      <c r="BP56" s="14" t="str">
        <f>IF(BN56&lt;=4,"50",IF(BN56&lt;=4.5,"50-54.99",IF(BN56&lt;=5.5,"55-59.99",IF(BN56&lt;=6.5,"60-64.99",IF(BN56&lt;=7.5,"65-69.99",IF(BN56&lt;=8.5,"70-74.99",IF(BN56&lt;=9.5,"75-79.99","10")))))))</f>
        <v>70-74.99</v>
      </c>
      <c r="BS56">
        <f>RANK(BN56,$BN$3:$BN$135)</f>
        <v>24</v>
      </c>
    </row>
    <row r="57" spans="1:71" x14ac:dyDescent="0.25">
      <c r="A57" s="14" t="str">
        <f>[2]Sheet1!$A118</f>
        <v>MMS18-20/117</v>
      </c>
      <c r="B57" s="15" t="str">
        <f>[2]Sheet1!$B118</f>
        <v>/YADAV ANKITA OMPRAKASH SHASHANK DEVI</v>
      </c>
      <c r="C57" s="16">
        <f>'[3]1st Subject'!$C119</f>
        <v>30</v>
      </c>
      <c r="D57" s="16">
        <f>'[3]1st Subject'!$D119</f>
        <v>41</v>
      </c>
      <c r="E57" s="27">
        <f>D57+C57</f>
        <v>71</v>
      </c>
      <c r="F57" s="18" t="str">
        <f>IF(E57&lt;50,"F",IF(E57&lt;=54.99,"P",IF(E57&lt;=59.99,"C",IF(E57&lt;=64.99,"B",IF(E57&lt;=69.99,"B+",IF(E57&lt;=74.99,"A",IF(E57&lt;=79.99,"A+","O")))))))</f>
        <v>A</v>
      </c>
      <c r="G57" s="18" t="str">
        <f>IF(E57&lt;50,"0",IF(E57&lt;=54.99,"4",IF(E57&lt;=59.99,"5",IF(E57&lt;=64.99,"6",IF(E57&lt;=69.99,"7",IF(E57&lt;=74.99,"8",IF(E57&lt;=79.99,"9","10")))))))</f>
        <v>8</v>
      </c>
      <c r="H57" s="28">
        <v>4</v>
      </c>
      <c r="I57" s="29">
        <f>G57*H57</f>
        <v>32</v>
      </c>
      <c r="J57" s="16">
        <f>'[4]2nd Subject'!$C119</f>
        <v>30</v>
      </c>
      <c r="K57" s="16">
        <f>'[4]2nd Subject'!$D119</f>
        <v>41</v>
      </c>
      <c r="L57" s="27">
        <f>K57+J57</f>
        <v>71</v>
      </c>
      <c r="M57" s="18" t="str">
        <f>IF(L57&lt;50,"F",IF(L57&lt;=54.99,"P",IF(L57&lt;=59.99,"C",IF(L57&lt;=64.99,"B",IF(L57&lt;=69.99,"B+",IF(L57&lt;=74.99,"A",IF(L57&lt;=79.99,"A+","O")))))))</f>
        <v>A</v>
      </c>
      <c r="N57" s="18" t="str">
        <f>IF(L57&lt;50,"0",IF(L57&lt;=54.99,"4",IF(L57&lt;=59.99,"5",IF(L57&lt;=64.99,"6",IF(L57&lt;=69.99,"7",IF(L57&lt;=74.99,"8",IF(L57&lt;=79.99,"9","10")))))))</f>
        <v>8</v>
      </c>
      <c r="O57" s="28">
        <v>4</v>
      </c>
      <c r="P57" s="29">
        <f>N57*O57</f>
        <v>32</v>
      </c>
      <c r="Q57" s="21">
        <f>'[5]3rd Subject'!$C119</f>
        <v>30</v>
      </c>
      <c r="R57" s="21">
        <f>'[5]3rd Subject'!$D119</f>
        <v>41</v>
      </c>
      <c r="S57" s="27">
        <f>R57+Q57</f>
        <v>71</v>
      </c>
      <c r="T57" s="18" t="str">
        <f>IF(S57&lt;50,"F",IF(S57&lt;=54.99,"P",IF(S57&lt;=59.99,"C",IF(S57&lt;=64.99,"B",IF(S57&lt;=69.99,"B+",IF(S57&lt;=74.99,"A",IF(S57&lt;=79.99,"A+","O")))))))</f>
        <v>A</v>
      </c>
      <c r="U57" s="18" t="str">
        <f>IF(S57&lt;50,"0",IF(S57&lt;=54.99,"4",IF(S57&lt;=59.99,"5",IF(S57&lt;=64.99,"6",IF(S57&lt;=69.99,"7",IF(S57&lt;=74.99,"8",IF(S57&lt;=79.99,"9","10")))))))</f>
        <v>8</v>
      </c>
      <c r="V57" s="28">
        <v>4</v>
      </c>
      <c r="W57" s="29">
        <f>U57*V57</f>
        <v>32</v>
      </c>
      <c r="X57" s="22">
        <f>'[6]4th Subject'!$C119</f>
        <v>30</v>
      </c>
      <c r="Y57" s="23">
        <f>'[6]4th Subject'!$D119</f>
        <v>41</v>
      </c>
      <c r="Z57" s="27">
        <f>Y57+X57</f>
        <v>71</v>
      </c>
      <c r="AA57" s="18" t="str">
        <f>IF(Z57&lt;50,"F",IF(Z57&lt;=54.99,"P",IF(Z57&lt;=59.99,"C",IF(Z57&lt;=64.99,"B",IF(Z57&lt;=69.99,"B+",IF(Z57&lt;=74.99,"A",IF(Z57&lt;=79.99,"A+","O")))))))</f>
        <v>A</v>
      </c>
      <c r="AB57" s="18" t="str">
        <f>IF(Z57&lt;50,"0",IF(Z57&lt;=54.99,"4",IF(Z57&lt;=59.99,"5",IF(Z57&lt;=64.99,"6",IF(Z57&lt;=69.99,"7",IF(Z57&lt;=74.99,"8",IF(Z57&lt;=79.99,"9","10")))))))</f>
        <v>8</v>
      </c>
      <c r="AC57" s="28">
        <v>4</v>
      </c>
      <c r="AD57" s="29">
        <f>AB57*AC57</f>
        <v>32</v>
      </c>
      <c r="AE57" s="22">
        <f>'[7]5th Subject'!$C119</f>
        <v>30</v>
      </c>
      <c r="AF57" s="23">
        <f>'[7]5th Subject'!$D119</f>
        <v>41</v>
      </c>
      <c r="AG57" s="27">
        <f>AF57+AE57</f>
        <v>71</v>
      </c>
      <c r="AH57" s="18" t="str">
        <f>IF(AG57&lt;50,"F",IF(AG57&lt;=54.99,"P",IF(AG57&lt;=59.99,"C",IF(AG57&lt;=64.99,"B",IF(AG57&lt;=69.99,"B+",IF(AG57&lt;=74.99,"A",IF(AG57&lt;=79.99,"A+","O")))))))</f>
        <v>A</v>
      </c>
      <c r="AI57" s="18" t="str">
        <f>IF(AG57&lt;50,"0",IF(AG57&lt;=54.99,"4",IF(AG57&lt;=59.99,"5",IF(AG57&lt;=64.99,"6",IF(AG57&lt;=69.99,"7",IF(AG57&lt;=74.99,"8",IF(AG57&lt;=79.99,"9","10")))))))</f>
        <v>8</v>
      </c>
      <c r="AJ57" s="28">
        <v>4</v>
      </c>
      <c r="AK57" s="29">
        <f>AI57*AJ57</f>
        <v>32</v>
      </c>
      <c r="AL57" s="22">
        <f>'[8]6th Subject'!$C119</f>
        <v>30</v>
      </c>
      <c r="AM57" s="22">
        <f>'[8]6th Subject'!$D119</f>
        <v>41</v>
      </c>
      <c r="AN57" s="27">
        <f>AM57+AL57</f>
        <v>71</v>
      </c>
      <c r="AO57" s="18" t="str">
        <f>IF(AN57&lt;50,"F",IF(AN57&lt;=54.99,"P",IF(AN57&lt;=59.99,"C",IF(AN57&lt;=64.99,"B",IF(AN57&lt;=69.99,"B+",IF(AN57&lt;=74.99,"A",IF(AN57&lt;=79.99,"A+","O")))))))</f>
        <v>A</v>
      </c>
      <c r="AP57" s="18" t="str">
        <f>IF(AN57&lt;50,"0",IF(AN57&lt;=54.99,"4",IF(AN57&lt;=59.99,"5",IF(AN57&lt;=64.99,"6",IF(AN57&lt;=69.99,"7",IF(AN57&lt;=74.99,"8",IF(AN57&lt;=79.99,"9","10")))))))</f>
        <v>8</v>
      </c>
      <c r="AQ57" s="28">
        <v>4</v>
      </c>
      <c r="AR57" s="29">
        <f>AP57*AQ57</f>
        <v>32</v>
      </c>
      <c r="AS57" s="16">
        <f>'[9]7th Subject'!$C119</f>
        <v>30</v>
      </c>
      <c r="AT57" s="16">
        <f>'[9]7th Subject'!$D119</f>
        <v>41</v>
      </c>
      <c r="AU57" s="27">
        <f>AT57+AS57</f>
        <v>71</v>
      </c>
      <c r="AV57" s="18" t="str">
        <f>IF(AU57&lt;50,"F",IF(AU57&lt;=54.99,"P",IF(AU57&lt;=59.99,"C",IF(AU57&lt;=64.99,"B",IF(AU57&lt;=69.99,"B+",IF(AU57&lt;=74.99,"A",IF(AU57&lt;=79.99,"A+","O")))))))</f>
        <v>A</v>
      </c>
      <c r="AW57" s="18" t="str">
        <f>IF(AU57&lt;50,"0",IF(AU57&lt;=54.99,"4",IF(AU57&lt;=59.99,"5",IF(AU57&lt;=64.99,"6",IF(AU57&lt;=69.99,"7",IF(AU57&lt;=74.99,"8",IF(AU57&lt;=79.99,"9","10")))))))</f>
        <v>8</v>
      </c>
      <c r="AX57" s="28">
        <v>4</v>
      </c>
      <c r="AY57" s="29">
        <f>AW57*AX57</f>
        <v>32</v>
      </c>
      <c r="AZ57" s="22">
        <f>'[10]8th Subject'!$C119</f>
        <v>30</v>
      </c>
      <c r="BA57" s="22">
        <f>'[10]8th Subject'!$D119</f>
        <v>41</v>
      </c>
      <c r="BB57" s="27">
        <f>BA57+AZ57</f>
        <v>71</v>
      </c>
      <c r="BC57" s="18" t="str">
        <f>IF(BB57&lt;50,"F",IF(BB57&lt;=54.99,"P",IF(BB57&lt;=59.99,"C",IF(BB57&lt;=64.99,"B",IF(BB57&lt;=69.99,"B+",IF(BB57&lt;=74.99,"A",IF(BB57&lt;=79.99,"A+","O")))))))</f>
        <v>A</v>
      </c>
      <c r="BD57" s="18" t="str">
        <f>IF(BB57&lt;50,"0",IF(BB57&lt;=54.99,"4",IF(BB57&lt;=59.99,"5",IF(BB57&lt;=64.99,"6",IF(BB57&lt;=69.99,"7",IF(BB57&lt;=74.99,"8",IF(BB57&lt;=79.99,"9","10")))))))</f>
        <v>8</v>
      </c>
      <c r="BE57" s="28">
        <v>4</v>
      </c>
      <c r="BF57" s="29">
        <f>BD57*BE57</f>
        <v>32</v>
      </c>
      <c r="BG57" s="27">
        <f>AZ57+AS57+AE57+X57+J57+C57+Q57+AL57</f>
        <v>240</v>
      </c>
      <c r="BH57" s="27">
        <f>BA57+AT57+AF57+Y57+K57+D57+R57+AM57</f>
        <v>328</v>
      </c>
      <c r="BI57" s="27">
        <f>BH57+BG57</f>
        <v>568</v>
      </c>
      <c r="BJ57" s="30">
        <f>G57+N57+U57+AB57+AI57+AP57+BD57+AW57</f>
        <v>64</v>
      </c>
      <c r="BK57" s="30">
        <f>I57+P57+W57+AD57+AK57+AY57+BF57+AR57</f>
        <v>256</v>
      </c>
      <c r="BL57" s="25">
        <f>(BN57-0.75)*10</f>
        <v>72.5</v>
      </c>
      <c r="BM57" s="17" t="str">
        <f>IF(OR(C57&lt;20,D57&lt;30,J57&lt;20,K57&lt;30,Q57&lt;20,R57&lt;30,X57&lt;20,Y57&lt;30,AE57&lt;20,AF57&lt;30,AL57&lt;20,AM57&lt;30,AS57&lt;20,AT57&lt;30,AZ57&lt;20,BA57&lt;30),"Unsuccessful","Successful")</f>
        <v>Successful</v>
      </c>
      <c r="BN57" s="31">
        <f>BK57/32</f>
        <v>8</v>
      </c>
      <c r="BO57" s="18" t="str">
        <f>IF(BN57&lt;=4,"F",IF(BN57&lt;=4.5,"P",IF(BN57&lt;=5.5,"C",IF(BN57&lt;=6.5,"B",IF(BN57&lt;=7.5,"B+",IF(BN57&lt;=8.5,"A",IF(BN57&lt;=9.5,"A+","O")))))))</f>
        <v>A</v>
      </c>
      <c r="BP57" s="14" t="str">
        <f>IF(BN57&lt;=4,"50",IF(BN57&lt;=4.5,"50-54.99",IF(BN57&lt;=5.5,"55-59.99",IF(BN57&lt;=6.5,"60-64.99",IF(BN57&lt;=7.5,"65-69.99",IF(BN57&lt;=8.5,"70-74.99",IF(BN57&lt;=9.5,"75-79.99","10")))))))</f>
        <v>70-74.99</v>
      </c>
      <c r="BS57">
        <f>RANK(BN57,$BN$3:$BN$135)</f>
        <v>24</v>
      </c>
    </row>
    <row r="58" spans="1:71" x14ac:dyDescent="0.25">
      <c r="A58" s="14" t="str">
        <f>[2]Sheet1!$A13</f>
        <v>MMS18-20/012</v>
      </c>
      <c r="B58" s="15" t="str">
        <f>[2]Sheet1!$B13</f>
        <v>BHOIR PRANAV SURESH SWETA</v>
      </c>
      <c r="C58" s="16">
        <f>'[3]1st Subject'!$C14</f>
        <v>30</v>
      </c>
      <c r="D58" s="16">
        <f>'[3]1st Subject'!$D14</f>
        <v>40</v>
      </c>
      <c r="E58" s="27">
        <f>D58+C58</f>
        <v>70</v>
      </c>
      <c r="F58" s="18" t="str">
        <f>IF(E58&lt;50,"F",IF(E58&lt;=54.99,"P",IF(E58&lt;=59.99,"C",IF(E58&lt;=64.99,"B",IF(E58&lt;=69.99,"B+",IF(E58&lt;=74.99,"A",IF(E58&lt;=79.99,"A+","O")))))))</f>
        <v>A</v>
      </c>
      <c r="G58" s="18" t="str">
        <f>IF(E58&lt;50,"0",IF(E58&lt;=54.99,"4",IF(E58&lt;=59.99,"5",IF(E58&lt;=64.99,"6",IF(E58&lt;=69.99,"7",IF(E58&lt;=74.99,"8",IF(E58&lt;=79.99,"9","10")))))))</f>
        <v>8</v>
      </c>
      <c r="H58" s="28">
        <v>4</v>
      </c>
      <c r="I58" s="29">
        <f>G58*H58</f>
        <v>32</v>
      </c>
      <c r="J58" s="16">
        <f>'[4]2nd Subject'!$C14</f>
        <v>30</v>
      </c>
      <c r="K58" s="16">
        <f>'[4]2nd Subject'!$D14</f>
        <v>40</v>
      </c>
      <c r="L58" s="27">
        <f>K58+J58</f>
        <v>70</v>
      </c>
      <c r="M58" s="18" t="str">
        <f>IF(L58&lt;50,"F",IF(L58&lt;=54.99,"P",IF(L58&lt;=59.99,"C",IF(L58&lt;=64.99,"B",IF(L58&lt;=69.99,"B+",IF(L58&lt;=74.99,"A",IF(L58&lt;=79.99,"A+","O")))))))</f>
        <v>A</v>
      </c>
      <c r="N58" s="18" t="str">
        <f>IF(L58&lt;50,"0",IF(L58&lt;=54.99,"4",IF(L58&lt;=59.99,"5",IF(L58&lt;=64.99,"6",IF(L58&lt;=69.99,"7",IF(L58&lt;=74.99,"8",IF(L58&lt;=79.99,"9","10")))))))</f>
        <v>8</v>
      </c>
      <c r="O58" s="28">
        <v>4</v>
      </c>
      <c r="P58" s="29">
        <f>N58*O58</f>
        <v>32</v>
      </c>
      <c r="Q58" s="21">
        <f>'[5]3rd Subject'!$C14</f>
        <v>30</v>
      </c>
      <c r="R58" s="21">
        <f>'[5]3rd Subject'!$D14</f>
        <v>40</v>
      </c>
      <c r="S58" s="27">
        <f>R58+Q58</f>
        <v>70</v>
      </c>
      <c r="T58" s="18" t="str">
        <f>IF(S58&lt;50,"F",IF(S58&lt;=54.99,"P",IF(S58&lt;=59.99,"C",IF(S58&lt;=64.99,"B",IF(S58&lt;=69.99,"B+",IF(S58&lt;=74.99,"A",IF(S58&lt;=79.99,"A+","O")))))))</f>
        <v>A</v>
      </c>
      <c r="U58" s="18" t="str">
        <f>IF(S58&lt;50,"0",IF(S58&lt;=54.99,"4",IF(S58&lt;=59.99,"5",IF(S58&lt;=64.99,"6",IF(S58&lt;=69.99,"7",IF(S58&lt;=74.99,"8",IF(S58&lt;=79.99,"9","10")))))))</f>
        <v>8</v>
      </c>
      <c r="V58" s="28">
        <v>4</v>
      </c>
      <c r="W58" s="29">
        <f>U58*V58</f>
        <v>32</v>
      </c>
      <c r="X58" s="22">
        <f>'[6]4th Subject'!$C14</f>
        <v>30</v>
      </c>
      <c r="Y58" s="23">
        <f>'[6]4th Subject'!$D14</f>
        <v>40</v>
      </c>
      <c r="Z58" s="27">
        <f>Y58+X58</f>
        <v>70</v>
      </c>
      <c r="AA58" s="18" t="str">
        <f>IF(Z58&lt;50,"F",IF(Z58&lt;=54.99,"P",IF(Z58&lt;=59.99,"C",IF(Z58&lt;=64.99,"B",IF(Z58&lt;=69.99,"B+",IF(Z58&lt;=74.99,"A",IF(Z58&lt;=79.99,"A+","O")))))))</f>
        <v>A</v>
      </c>
      <c r="AB58" s="18" t="str">
        <f>IF(Z58&lt;50,"0",IF(Z58&lt;=54.99,"4",IF(Z58&lt;=59.99,"5",IF(Z58&lt;=64.99,"6",IF(Z58&lt;=69.99,"7",IF(Z58&lt;=74.99,"8",IF(Z58&lt;=79.99,"9","10")))))))</f>
        <v>8</v>
      </c>
      <c r="AC58" s="28">
        <v>4</v>
      </c>
      <c r="AD58" s="29">
        <f>AB58*AC58</f>
        <v>32</v>
      </c>
      <c r="AE58" s="22">
        <f>'[7]5th Subject'!$C14</f>
        <v>30</v>
      </c>
      <c r="AF58" s="23">
        <f>'[7]5th Subject'!$D14</f>
        <v>40</v>
      </c>
      <c r="AG58" s="27">
        <f>AF58+AE58</f>
        <v>70</v>
      </c>
      <c r="AH58" s="18" t="str">
        <f>IF(AG58&lt;50,"F",IF(AG58&lt;=54.99,"P",IF(AG58&lt;=59.99,"C",IF(AG58&lt;=64.99,"B",IF(AG58&lt;=69.99,"B+",IF(AG58&lt;=74.99,"A",IF(AG58&lt;=79.99,"A+","O")))))))</f>
        <v>A</v>
      </c>
      <c r="AI58" s="18" t="str">
        <f>IF(AG58&lt;50,"0",IF(AG58&lt;=54.99,"4",IF(AG58&lt;=59.99,"5",IF(AG58&lt;=64.99,"6",IF(AG58&lt;=69.99,"7",IF(AG58&lt;=74.99,"8",IF(AG58&lt;=79.99,"9","10")))))))</f>
        <v>8</v>
      </c>
      <c r="AJ58" s="28">
        <v>4</v>
      </c>
      <c r="AK58" s="29">
        <f>AI58*AJ58</f>
        <v>32</v>
      </c>
      <c r="AL58" s="22">
        <f>'[8]6th Subject'!$C14</f>
        <v>30</v>
      </c>
      <c r="AM58" s="22">
        <f>'[8]6th Subject'!$D14</f>
        <v>40</v>
      </c>
      <c r="AN58" s="27">
        <f>AM58+AL58</f>
        <v>70</v>
      </c>
      <c r="AO58" s="18" t="str">
        <f>IF(AN58&lt;50,"F",IF(AN58&lt;=54.99,"P",IF(AN58&lt;=59.99,"C",IF(AN58&lt;=64.99,"B",IF(AN58&lt;=69.99,"B+",IF(AN58&lt;=74.99,"A",IF(AN58&lt;=79.99,"A+","O")))))))</f>
        <v>A</v>
      </c>
      <c r="AP58" s="18" t="str">
        <f>IF(AN58&lt;50,"0",IF(AN58&lt;=54.99,"4",IF(AN58&lt;=59.99,"5",IF(AN58&lt;=64.99,"6",IF(AN58&lt;=69.99,"7",IF(AN58&lt;=74.99,"8",IF(AN58&lt;=79.99,"9","10")))))))</f>
        <v>8</v>
      </c>
      <c r="AQ58" s="28">
        <v>4</v>
      </c>
      <c r="AR58" s="29">
        <f>AP58*AQ58</f>
        <v>32</v>
      </c>
      <c r="AS58" s="16">
        <f>'[9]7th Subject'!$C14</f>
        <v>30</v>
      </c>
      <c r="AT58" s="16">
        <f>'[9]7th Subject'!$D14</f>
        <v>40</v>
      </c>
      <c r="AU58" s="27">
        <f>AT58+AS58</f>
        <v>70</v>
      </c>
      <c r="AV58" s="18" t="str">
        <f>IF(AU58&lt;50,"F",IF(AU58&lt;=54.99,"P",IF(AU58&lt;=59.99,"C",IF(AU58&lt;=64.99,"B",IF(AU58&lt;=69.99,"B+",IF(AU58&lt;=74.99,"A",IF(AU58&lt;=79.99,"A+","O")))))))</f>
        <v>A</v>
      </c>
      <c r="AW58" s="18" t="str">
        <f>IF(AU58&lt;50,"0",IF(AU58&lt;=54.99,"4",IF(AU58&lt;=59.99,"5",IF(AU58&lt;=64.99,"6",IF(AU58&lt;=69.99,"7",IF(AU58&lt;=74.99,"8",IF(AU58&lt;=79.99,"9","10")))))))</f>
        <v>8</v>
      </c>
      <c r="AX58" s="28">
        <v>4</v>
      </c>
      <c r="AY58" s="29">
        <f>AW58*AX58</f>
        <v>32</v>
      </c>
      <c r="AZ58" s="22">
        <f>'[10]8th Subject'!$C14</f>
        <v>30</v>
      </c>
      <c r="BA58" s="22">
        <f>'[10]8th Subject'!$D14</f>
        <v>40</v>
      </c>
      <c r="BB58" s="27">
        <f>BA58+AZ58</f>
        <v>70</v>
      </c>
      <c r="BC58" s="18" t="str">
        <f>IF(BB58&lt;50,"F",IF(BB58&lt;=54.99,"P",IF(BB58&lt;=59.99,"C",IF(BB58&lt;=64.99,"B",IF(BB58&lt;=69.99,"B+",IF(BB58&lt;=74.99,"A",IF(BB58&lt;=79.99,"A+","O")))))))</f>
        <v>A</v>
      </c>
      <c r="BD58" s="18" t="str">
        <f>IF(BB58&lt;50,"0",IF(BB58&lt;=54.99,"4",IF(BB58&lt;=59.99,"5",IF(BB58&lt;=64.99,"6",IF(BB58&lt;=69.99,"7",IF(BB58&lt;=74.99,"8",IF(BB58&lt;=79.99,"9","10")))))))</f>
        <v>8</v>
      </c>
      <c r="BE58" s="28">
        <v>4</v>
      </c>
      <c r="BF58" s="29">
        <f>BD58*BE58</f>
        <v>32</v>
      </c>
      <c r="BG58" s="27">
        <f>AZ58+AS58+AE58+X58+J58+C58+Q58+AL58</f>
        <v>240</v>
      </c>
      <c r="BH58" s="27">
        <f>BA58+AT58+AF58+Y58+K58+D58+R58+AM58</f>
        <v>320</v>
      </c>
      <c r="BI58" s="27">
        <f>BH58+BG58</f>
        <v>560</v>
      </c>
      <c r="BJ58" s="30">
        <f>G58+N58+U58+AB58+AI58+AP58+BD58+AW58</f>
        <v>64</v>
      </c>
      <c r="BK58" s="30">
        <f>I58+P58+W58+AD58+AK58+AY58+BF58+AR58</f>
        <v>256</v>
      </c>
      <c r="BL58" s="25">
        <f>(BN58-0.75)*10</f>
        <v>72.5</v>
      </c>
      <c r="BM58" s="17" t="str">
        <f>IF(OR(C58&lt;20,D58&lt;30,J58&lt;20,K58&lt;30,Q58&lt;20,R58&lt;30,X58&lt;20,Y58&lt;30,AE58&lt;20,AF58&lt;30,AL58&lt;20,AM58&lt;30,AS58&lt;20,AT58&lt;30,AZ58&lt;20,BA58&lt;30),"Unsuccessful","Successful")</f>
        <v>Successful</v>
      </c>
      <c r="BN58" s="31">
        <f>BK58/32</f>
        <v>8</v>
      </c>
      <c r="BO58" s="18" t="str">
        <f>IF(BN58&lt;=4,"F",IF(BN58&lt;=4.5,"P",IF(BN58&lt;=5.5,"C",IF(BN58&lt;=6.5,"B",IF(BN58&lt;=7.5,"B+",IF(BN58&lt;=8.5,"A",IF(BN58&lt;=9.5,"A+","O")))))))</f>
        <v>A</v>
      </c>
      <c r="BP58" s="14" t="str">
        <f>IF(BN58&lt;=4,"50",IF(BN58&lt;=4.5,"50-54.99",IF(BN58&lt;=5.5,"55-59.99",IF(BN58&lt;=6.5,"60-64.99",IF(BN58&lt;=7.5,"65-69.99",IF(BN58&lt;=8.5,"70-74.99",IF(BN58&lt;=9.5,"75-79.99","10")))))))</f>
        <v>70-74.99</v>
      </c>
      <c r="BS58">
        <f>RANK(BN58,$BN$3:$BN$135)</f>
        <v>24</v>
      </c>
    </row>
    <row r="59" spans="1:71" x14ac:dyDescent="0.25">
      <c r="A59" s="14" t="str">
        <f>[2]Sheet1!$A24</f>
        <v>MMS18-20/023</v>
      </c>
      <c r="B59" s="15" t="str">
        <f>[2]Sheet1!$B24</f>
        <v xml:space="preserve">/PICHAD DESHMUKH GIRIJA HEMANT MOHINI </v>
      </c>
      <c r="C59" s="16">
        <f>'[3]1st Subject'!$C25</f>
        <v>30</v>
      </c>
      <c r="D59" s="16">
        <f>'[3]1st Subject'!$D25</f>
        <v>40</v>
      </c>
      <c r="E59" s="27">
        <f>D59+C59</f>
        <v>70</v>
      </c>
      <c r="F59" s="18" t="str">
        <f>IF(E59&lt;50,"F",IF(E59&lt;=54.99,"P",IF(E59&lt;=59.99,"C",IF(E59&lt;=64.99,"B",IF(E59&lt;=69.99,"B+",IF(E59&lt;=74.99,"A",IF(E59&lt;=79.99,"A+","O")))))))</f>
        <v>A</v>
      </c>
      <c r="G59" s="18" t="str">
        <f>IF(E59&lt;50,"0",IF(E59&lt;=54.99,"4",IF(E59&lt;=59.99,"5",IF(E59&lt;=64.99,"6",IF(E59&lt;=69.99,"7",IF(E59&lt;=74.99,"8",IF(E59&lt;=79.99,"9","10")))))))</f>
        <v>8</v>
      </c>
      <c r="H59" s="28">
        <v>4</v>
      </c>
      <c r="I59" s="29">
        <f>G59*H59</f>
        <v>32</v>
      </c>
      <c r="J59" s="16">
        <f>'[4]2nd Subject'!$C25</f>
        <v>30</v>
      </c>
      <c r="K59" s="16">
        <f>'[4]2nd Subject'!$D25</f>
        <v>40</v>
      </c>
      <c r="L59" s="27">
        <f>K59+J59</f>
        <v>70</v>
      </c>
      <c r="M59" s="18" t="str">
        <f>IF(L59&lt;50,"F",IF(L59&lt;=54.99,"P",IF(L59&lt;=59.99,"C",IF(L59&lt;=64.99,"B",IF(L59&lt;=69.99,"B+",IF(L59&lt;=74.99,"A",IF(L59&lt;=79.99,"A+","O")))))))</f>
        <v>A</v>
      </c>
      <c r="N59" s="18" t="str">
        <f>IF(L59&lt;50,"0",IF(L59&lt;=54.99,"4",IF(L59&lt;=59.99,"5",IF(L59&lt;=64.99,"6",IF(L59&lt;=69.99,"7",IF(L59&lt;=74.99,"8",IF(L59&lt;=79.99,"9","10")))))))</f>
        <v>8</v>
      </c>
      <c r="O59" s="28">
        <v>4</v>
      </c>
      <c r="P59" s="29">
        <f>N59*O59</f>
        <v>32</v>
      </c>
      <c r="Q59" s="21">
        <f>'[5]3rd Subject'!$C25</f>
        <v>30</v>
      </c>
      <c r="R59" s="21">
        <f>'[5]3rd Subject'!$D25</f>
        <v>40</v>
      </c>
      <c r="S59" s="27">
        <f>R59+Q59</f>
        <v>70</v>
      </c>
      <c r="T59" s="18" t="str">
        <f>IF(S59&lt;50,"F",IF(S59&lt;=54.99,"P",IF(S59&lt;=59.99,"C",IF(S59&lt;=64.99,"B",IF(S59&lt;=69.99,"B+",IF(S59&lt;=74.99,"A",IF(S59&lt;=79.99,"A+","O")))))))</f>
        <v>A</v>
      </c>
      <c r="U59" s="18" t="str">
        <f>IF(S59&lt;50,"0",IF(S59&lt;=54.99,"4",IF(S59&lt;=59.99,"5",IF(S59&lt;=64.99,"6",IF(S59&lt;=69.99,"7",IF(S59&lt;=74.99,"8",IF(S59&lt;=79.99,"9","10")))))))</f>
        <v>8</v>
      </c>
      <c r="V59" s="28">
        <v>4</v>
      </c>
      <c r="W59" s="29">
        <f>U59*V59</f>
        <v>32</v>
      </c>
      <c r="X59" s="22">
        <f>'[6]4th Subject'!$C25</f>
        <v>30</v>
      </c>
      <c r="Y59" s="23">
        <f>'[6]4th Subject'!$D25</f>
        <v>40</v>
      </c>
      <c r="Z59" s="27">
        <f>Y59+X59</f>
        <v>70</v>
      </c>
      <c r="AA59" s="18" t="str">
        <f>IF(Z59&lt;50,"F",IF(Z59&lt;=54.99,"P",IF(Z59&lt;=59.99,"C",IF(Z59&lt;=64.99,"B",IF(Z59&lt;=69.99,"B+",IF(Z59&lt;=74.99,"A",IF(Z59&lt;=79.99,"A+","O")))))))</f>
        <v>A</v>
      </c>
      <c r="AB59" s="18" t="str">
        <f>IF(Z59&lt;50,"0",IF(Z59&lt;=54.99,"4",IF(Z59&lt;=59.99,"5",IF(Z59&lt;=64.99,"6",IF(Z59&lt;=69.99,"7",IF(Z59&lt;=74.99,"8",IF(Z59&lt;=79.99,"9","10")))))))</f>
        <v>8</v>
      </c>
      <c r="AC59" s="28">
        <v>4</v>
      </c>
      <c r="AD59" s="29">
        <f>AB59*AC59</f>
        <v>32</v>
      </c>
      <c r="AE59" s="22">
        <f>'[7]5th Subject'!$C25</f>
        <v>30</v>
      </c>
      <c r="AF59" s="23">
        <f>'[7]5th Subject'!$D25</f>
        <v>40</v>
      </c>
      <c r="AG59" s="27">
        <f>AF59+AE59</f>
        <v>70</v>
      </c>
      <c r="AH59" s="18" t="str">
        <f>IF(AG59&lt;50,"F",IF(AG59&lt;=54.99,"P",IF(AG59&lt;=59.99,"C",IF(AG59&lt;=64.99,"B",IF(AG59&lt;=69.99,"B+",IF(AG59&lt;=74.99,"A",IF(AG59&lt;=79.99,"A+","O")))))))</f>
        <v>A</v>
      </c>
      <c r="AI59" s="18" t="str">
        <f>IF(AG59&lt;50,"0",IF(AG59&lt;=54.99,"4",IF(AG59&lt;=59.99,"5",IF(AG59&lt;=64.99,"6",IF(AG59&lt;=69.99,"7",IF(AG59&lt;=74.99,"8",IF(AG59&lt;=79.99,"9","10")))))))</f>
        <v>8</v>
      </c>
      <c r="AJ59" s="28">
        <v>4</v>
      </c>
      <c r="AK59" s="29">
        <f>AI59*AJ59</f>
        <v>32</v>
      </c>
      <c r="AL59" s="22">
        <f>'[8]6th Subject'!$C25</f>
        <v>30</v>
      </c>
      <c r="AM59" s="22">
        <f>'[8]6th Subject'!$D25</f>
        <v>40</v>
      </c>
      <c r="AN59" s="27">
        <f>AM59+AL59</f>
        <v>70</v>
      </c>
      <c r="AO59" s="18" t="str">
        <f>IF(AN59&lt;50,"F",IF(AN59&lt;=54.99,"P",IF(AN59&lt;=59.99,"C",IF(AN59&lt;=64.99,"B",IF(AN59&lt;=69.99,"B+",IF(AN59&lt;=74.99,"A",IF(AN59&lt;=79.99,"A+","O")))))))</f>
        <v>A</v>
      </c>
      <c r="AP59" s="18" t="str">
        <f>IF(AN59&lt;50,"0",IF(AN59&lt;=54.99,"4",IF(AN59&lt;=59.99,"5",IF(AN59&lt;=64.99,"6",IF(AN59&lt;=69.99,"7",IF(AN59&lt;=74.99,"8",IF(AN59&lt;=79.99,"9","10")))))))</f>
        <v>8</v>
      </c>
      <c r="AQ59" s="28">
        <v>4</v>
      </c>
      <c r="AR59" s="29">
        <f>AP59*AQ59</f>
        <v>32</v>
      </c>
      <c r="AS59" s="16">
        <f>'[9]7th Subject'!$C25</f>
        <v>30</v>
      </c>
      <c r="AT59" s="16">
        <f>'[9]7th Subject'!$D25</f>
        <v>40</v>
      </c>
      <c r="AU59" s="27">
        <f>AT59+AS59</f>
        <v>70</v>
      </c>
      <c r="AV59" s="18" t="str">
        <f>IF(AU59&lt;50,"F",IF(AU59&lt;=54.99,"P",IF(AU59&lt;=59.99,"C",IF(AU59&lt;=64.99,"B",IF(AU59&lt;=69.99,"B+",IF(AU59&lt;=74.99,"A",IF(AU59&lt;=79.99,"A+","O")))))))</f>
        <v>A</v>
      </c>
      <c r="AW59" s="18" t="str">
        <f>IF(AU59&lt;50,"0",IF(AU59&lt;=54.99,"4",IF(AU59&lt;=59.99,"5",IF(AU59&lt;=64.99,"6",IF(AU59&lt;=69.99,"7",IF(AU59&lt;=74.99,"8",IF(AU59&lt;=79.99,"9","10")))))))</f>
        <v>8</v>
      </c>
      <c r="AX59" s="28">
        <v>4</v>
      </c>
      <c r="AY59" s="29">
        <f>AW59*AX59</f>
        <v>32</v>
      </c>
      <c r="AZ59" s="22">
        <f>'[10]8th Subject'!$C25</f>
        <v>30</v>
      </c>
      <c r="BA59" s="22">
        <f>'[10]8th Subject'!$D25</f>
        <v>40</v>
      </c>
      <c r="BB59" s="27">
        <f>BA59+AZ59</f>
        <v>70</v>
      </c>
      <c r="BC59" s="18" t="str">
        <f>IF(BB59&lt;50,"F",IF(BB59&lt;=54.99,"P",IF(BB59&lt;=59.99,"C",IF(BB59&lt;=64.99,"B",IF(BB59&lt;=69.99,"B+",IF(BB59&lt;=74.99,"A",IF(BB59&lt;=79.99,"A+","O")))))))</f>
        <v>A</v>
      </c>
      <c r="BD59" s="18" t="str">
        <f>IF(BB59&lt;50,"0",IF(BB59&lt;=54.99,"4",IF(BB59&lt;=59.99,"5",IF(BB59&lt;=64.99,"6",IF(BB59&lt;=69.99,"7",IF(BB59&lt;=74.99,"8",IF(BB59&lt;=79.99,"9","10")))))))</f>
        <v>8</v>
      </c>
      <c r="BE59" s="28">
        <v>4</v>
      </c>
      <c r="BF59" s="29">
        <f>BD59*BE59</f>
        <v>32</v>
      </c>
      <c r="BG59" s="27">
        <f>AZ59+AS59+AE59+X59+J59+C59+Q59+AL59</f>
        <v>240</v>
      </c>
      <c r="BH59" s="27">
        <f>BA59+AT59+AF59+Y59+K59+D59+R59+AM59</f>
        <v>320</v>
      </c>
      <c r="BI59" s="27">
        <f>BH59+BG59</f>
        <v>560</v>
      </c>
      <c r="BJ59" s="30">
        <f>G59+N59+U59+AB59+AI59+AP59+BD59+AW59</f>
        <v>64</v>
      </c>
      <c r="BK59" s="30">
        <f>I59+P59+W59+AD59+AK59+AY59+BF59+AR59</f>
        <v>256</v>
      </c>
      <c r="BL59" s="25">
        <f>(BN59-0.75)*10</f>
        <v>72.5</v>
      </c>
      <c r="BM59" s="17" t="str">
        <f>IF(OR(C59&lt;20,D59&lt;30,J59&lt;20,K59&lt;30,Q59&lt;20,R59&lt;30,X59&lt;20,Y59&lt;30,AE59&lt;20,AF59&lt;30,AL59&lt;20,AM59&lt;30,AS59&lt;20,AT59&lt;30,AZ59&lt;20,BA59&lt;30),"Unsuccessful","Successful")</f>
        <v>Successful</v>
      </c>
      <c r="BN59" s="31">
        <f>BK59/32</f>
        <v>8</v>
      </c>
      <c r="BO59" s="18" t="str">
        <f>IF(BN59&lt;=4,"F",IF(BN59&lt;=4.5,"P",IF(BN59&lt;=5.5,"C",IF(BN59&lt;=6.5,"B",IF(BN59&lt;=7.5,"B+",IF(BN59&lt;=8.5,"A",IF(BN59&lt;=9.5,"A+","O")))))))</f>
        <v>A</v>
      </c>
      <c r="BP59" s="14" t="str">
        <f>IF(BN59&lt;=4,"50",IF(BN59&lt;=4.5,"50-54.99",IF(BN59&lt;=5.5,"55-59.99",IF(BN59&lt;=6.5,"60-64.99",IF(BN59&lt;=7.5,"65-69.99",IF(BN59&lt;=8.5,"70-74.99",IF(BN59&lt;=9.5,"75-79.99","10")))))))</f>
        <v>70-74.99</v>
      </c>
      <c r="BS59">
        <f>RANK(BN59,$BN$3:$BN$135)</f>
        <v>24</v>
      </c>
    </row>
    <row r="60" spans="1:71" x14ac:dyDescent="0.25">
      <c r="A60" s="14" t="str">
        <f>[2]Sheet1!$A35</f>
        <v>MMS18-20/034</v>
      </c>
      <c r="B60" s="15" t="str">
        <f>[2]Sheet1!$B35</f>
        <v>HARMALKAR PRATHAMESH SUBHASH SUBHASHINI</v>
      </c>
      <c r="C60" s="16">
        <f>'[3]1st Subject'!$C36</f>
        <v>30</v>
      </c>
      <c r="D60" s="16">
        <f>'[3]1st Subject'!$D36</f>
        <v>40</v>
      </c>
      <c r="E60" s="27">
        <f>D60+C60</f>
        <v>70</v>
      </c>
      <c r="F60" s="18" t="str">
        <f>IF(E60&lt;50,"F",IF(E60&lt;=54.99,"P",IF(E60&lt;=59.99,"C",IF(E60&lt;=64.99,"B",IF(E60&lt;=69.99,"B+",IF(E60&lt;=74.99,"A",IF(E60&lt;=79.99,"A+","O")))))))</f>
        <v>A</v>
      </c>
      <c r="G60" s="18" t="str">
        <f>IF(E60&lt;50,"0",IF(E60&lt;=54.99,"4",IF(E60&lt;=59.99,"5",IF(E60&lt;=64.99,"6",IF(E60&lt;=69.99,"7",IF(E60&lt;=74.99,"8",IF(E60&lt;=79.99,"9","10")))))))</f>
        <v>8</v>
      </c>
      <c r="H60" s="28">
        <v>4</v>
      </c>
      <c r="I60" s="29">
        <f>G60*H60</f>
        <v>32</v>
      </c>
      <c r="J60" s="16">
        <f>'[4]2nd Subject'!$C36</f>
        <v>30</v>
      </c>
      <c r="K60" s="16">
        <f>'[4]2nd Subject'!$D36</f>
        <v>40</v>
      </c>
      <c r="L60" s="27">
        <f>K60+J60</f>
        <v>70</v>
      </c>
      <c r="M60" s="18" t="str">
        <f>IF(L60&lt;50,"F",IF(L60&lt;=54.99,"P",IF(L60&lt;=59.99,"C",IF(L60&lt;=64.99,"B",IF(L60&lt;=69.99,"B+",IF(L60&lt;=74.99,"A",IF(L60&lt;=79.99,"A+","O")))))))</f>
        <v>A</v>
      </c>
      <c r="N60" s="18" t="str">
        <f>IF(L60&lt;50,"0",IF(L60&lt;=54.99,"4",IF(L60&lt;=59.99,"5",IF(L60&lt;=64.99,"6",IF(L60&lt;=69.99,"7",IF(L60&lt;=74.99,"8",IF(L60&lt;=79.99,"9","10")))))))</f>
        <v>8</v>
      </c>
      <c r="O60" s="28">
        <v>4</v>
      </c>
      <c r="P60" s="29">
        <f>N60*O60</f>
        <v>32</v>
      </c>
      <c r="Q60" s="21">
        <f>'[5]3rd Subject'!$C36</f>
        <v>30</v>
      </c>
      <c r="R60" s="21">
        <f>'[5]3rd Subject'!$D36</f>
        <v>40</v>
      </c>
      <c r="S60" s="27">
        <f>R60+Q60</f>
        <v>70</v>
      </c>
      <c r="T60" s="18" t="str">
        <f>IF(S60&lt;50,"F",IF(S60&lt;=54.99,"P",IF(S60&lt;=59.99,"C",IF(S60&lt;=64.99,"B",IF(S60&lt;=69.99,"B+",IF(S60&lt;=74.99,"A",IF(S60&lt;=79.99,"A+","O")))))))</f>
        <v>A</v>
      </c>
      <c r="U60" s="18" t="str">
        <f>IF(S60&lt;50,"0",IF(S60&lt;=54.99,"4",IF(S60&lt;=59.99,"5",IF(S60&lt;=64.99,"6",IF(S60&lt;=69.99,"7",IF(S60&lt;=74.99,"8",IF(S60&lt;=79.99,"9","10")))))))</f>
        <v>8</v>
      </c>
      <c r="V60" s="28">
        <v>4</v>
      </c>
      <c r="W60" s="29">
        <f>U60*V60</f>
        <v>32</v>
      </c>
      <c r="X60" s="22">
        <f>'[6]4th Subject'!$C36</f>
        <v>30</v>
      </c>
      <c r="Y60" s="23">
        <f>'[6]4th Subject'!$D36</f>
        <v>40</v>
      </c>
      <c r="Z60" s="27">
        <f>Y60+X60</f>
        <v>70</v>
      </c>
      <c r="AA60" s="18" t="str">
        <f>IF(Z60&lt;50,"F",IF(Z60&lt;=54.99,"P",IF(Z60&lt;=59.99,"C",IF(Z60&lt;=64.99,"B",IF(Z60&lt;=69.99,"B+",IF(Z60&lt;=74.99,"A",IF(Z60&lt;=79.99,"A+","O")))))))</f>
        <v>A</v>
      </c>
      <c r="AB60" s="18" t="str">
        <f>IF(Z60&lt;50,"0",IF(Z60&lt;=54.99,"4",IF(Z60&lt;=59.99,"5",IF(Z60&lt;=64.99,"6",IF(Z60&lt;=69.99,"7",IF(Z60&lt;=74.99,"8",IF(Z60&lt;=79.99,"9","10")))))))</f>
        <v>8</v>
      </c>
      <c r="AC60" s="28">
        <v>4</v>
      </c>
      <c r="AD60" s="29">
        <f>AB60*AC60</f>
        <v>32</v>
      </c>
      <c r="AE60" s="22">
        <f>'[7]5th Subject'!$C36</f>
        <v>30</v>
      </c>
      <c r="AF60" s="23">
        <f>'[7]5th Subject'!$D36</f>
        <v>40</v>
      </c>
      <c r="AG60" s="27">
        <f>AF60+AE60</f>
        <v>70</v>
      </c>
      <c r="AH60" s="18" t="str">
        <f>IF(AG60&lt;50,"F",IF(AG60&lt;=54.99,"P",IF(AG60&lt;=59.99,"C",IF(AG60&lt;=64.99,"B",IF(AG60&lt;=69.99,"B+",IF(AG60&lt;=74.99,"A",IF(AG60&lt;=79.99,"A+","O")))))))</f>
        <v>A</v>
      </c>
      <c r="AI60" s="18" t="str">
        <f>IF(AG60&lt;50,"0",IF(AG60&lt;=54.99,"4",IF(AG60&lt;=59.99,"5",IF(AG60&lt;=64.99,"6",IF(AG60&lt;=69.99,"7",IF(AG60&lt;=74.99,"8",IF(AG60&lt;=79.99,"9","10")))))))</f>
        <v>8</v>
      </c>
      <c r="AJ60" s="28">
        <v>4</v>
      </c>
      <c r="AK60" s="29">
        <f>AI60*AJ60</f>
        <v>32</v>
      </c>
      <c r="AL60" s="22">
        <f>'[8]6th Subject'!$C36</f>
        <v>30</v>
      </c>
      <c r="AM60" s="22">
        <f>'[8]6th Subject'!$D36</f>
        <v>40</v>
      </c>
      <c r="AN60" s="27">
        <f>AM60+AL60</f>
        <v>70</v>
      </c>
      <c r="AO60" s="18" t="str">
        <f>IF(AN60&lt;50,"F",IF(AN60&lt;=54.99,"P",IF(AN60&lt;=59.99,"C",IF(AN60&lt;=64.99,"B",IF(AN60&lt;=69.99,"B+",IF(AN60&lt;=74.99,"A",IF(AN60&lt;=79.99,"A+","O")))))))</f>
        <v>A</v>
      </c>
      <c r="AP60" s="18" t="str">
        <f>IF(AN60&lt;50,"0",IF(AN60&lt;=54.99,"4",IF(AN60&lt;=59.99,"5",IF(AN60&lt;=64.99,"6",IF(AN60&lt;=69.99,"7",IF(AN60&lt;=74.99,"8",IF(AN60&lt;=79.99,"9","10")))))))</f>
        <v>8</v>
      </c>
      <c r="AQ60" s="28">
        <v>4</v>
      </c>
      <c r="AR60" s="29">
        <f>AP60*AQ60</f>
        <v>32</v>
      </c>
      <c r="AS60" s="16">
        <f>'[9]7th Subject'!$C36</f>
        <v>30</v>
      </c>
      <c r="AT60" s="16">
        <f>'[9]7th Subject'!$D36</f>
        <v>40</v>
      </c>
      <c r="AU60" s="27">
        <f>AT60+AS60</f>
        <v>70</v>
      </c>
      <c r="AV60" s="18" t="str">
        <f>IF(AU60&lt;50,"F",IF(AU60&lt;=54.99,"P",IF(AU60&lt;=59.99,"C",IF(AU60&lt;=64.99,"B",IF(AU60&lt;=69.99,"B+",IF(AU60&lt;=74.99,"A",IF(AU60&lt;=79.99,"A+","O")))))))</f>
        <v>A</v>
      </c>
      <c r="AW60" s="18" t="str">
        <f>IF(AU60&lt;50,"0",IF(AU60&lt;=54.99,"4",IF(AU60&lt;=59.99,"5",IF(AU60&lt;=64.99,"6",IF(AU60&lt;=69.99,"7",IF(AU60&lt;=74.99,"8",IF(AU60&lt;=79.99,"9","10")))))))</f>
        <v>8</v>
      </c>
      <c r="AX60" s="28">
        <v>4</v>
      </c>
      <c r="AY60" s="29">
        <f>AW60*AX60</f>
        <v>32</v>
      </c>
      <c r="AZ60" s="22">
        <f>'[10]8th Subject'!$C36</f>
        <v>30</v>
      </c>
      <c r="BA60" s="22">
        <f>'[10]8th Subject'!$D36</f>
        <v>40</v>
      </c>
      <c r="BB60" s="27">
        <f>BA60+AZ60</f>
        <v>70</v>
      </c>
      <c r="BC60" s="18" t="str">
        <f>IF(BB60&lt;50,"F",IF(BB60&lt;=54.99,"P",IF(BB60&lt;=59.99,"C",IF(BB60&lt;=64.99,"B",IF(BB60&lt;=69.99,"B+",IF(BB60&lt;=74.99,"A",IF(BB60&lt;=79.99,"A+","O")))))))</f>
        <v>A</v>
      </c>
      <c r="BD60" s="18" t="str">
        <f>IF(BB60&lt;50,"0",IF(BB60&lt;=54.99,"4",IF(BB60&lt;=59.99,"5",IF(BB60&lt;=64.99,"6",IF(BB60&lt;=69.99,"7",IF(BB60&lt;=74.99,"8",IF(BB60&lt;=79.99,"9","10")))))))</f>
        <v>8</v>
      </c>
      <c r="BE60" s="28">
        <v>4</v>
      </c>
      <c r="BF60" s="29">
        <f>BD60*BE60</f>
        <v>32</v>
      </c>
      <c r="BG60" s="27">
        <f>AZ60+AS60+AE60+X60+J60+C60+Q60+AL60</f>
        <v>240</v>
      </c>
      <c r="BH60" s="27">
        <f>BA60+AT60+AF60+Y60+K60+D60+R60+AM60</f>
        <v>320</v>
      </c>
      <c r="BI60" s="27">
        <f>BH60+BG60</f>
        <v>560</v>
      </c>
      <c r="BJ60" s="30">
        <f>G60+N60+U60+AB60+AI60+AP60+BD60+AW60</f>
        <v>64</v>
      </c>
      <c r="BK60" s="30">
        <f>I60+P60+W60+AD60+AK60+AY60+BF60+AR60</f>
        <v>256</v>
      </c>
      <c r="BL60" s="25">
        <f>(BN60-0.75)*10</f>
        <v>72.5</v>
      </c>
      <c r="BM60" s="17" t="str">
        <f>IF(OR(C60&lt;20,D60&lt;30,J60&lt;20,K60&lt;30,Q60&lt;20,R60&lt;30,X60&lt;20,Y60&lt;30,AE60&lt;20,AF60&lt;30,AL60&lt;20,AM60&lt;30,AS60&lt;20,AT60&lt;30,AZ60&lt;20,BA60&lt;30),"Unsuccessful","Successful")</f>
        <v>Successful</v>
      </c>
      <c r="BN60" s="31">
        <f>BK60/32</f>
        <v>8</v>
      </c>
      <c r="BO60" s="18" t="str">
        <f>IF(BN60&lt;=4,"F",IF(BN60&lt;=4.5,"P",IF(BN60&lt;=5.5,"C",IF(BN60&lt;=6.5,"B",IF(BN60&lt;=7.5,"B+",IF(BN60&lt;=8.5,"A",IF(BN60&lt;=9.5,"A+","O")))))))</f>
        <v>A</v>
      </c>
      <c r="BP60" s="14" t="str">
        <f>IF(BN60&lt;=4,"50",IF(BN60&lt;=4.5,"50-54.99",IF(BN60&lt;=5.5,"55-59.99",IF(BN60&lt;=6.5,"60-64.99",IF(BN60&lt;=7.5,"65-69.99",IF(BN60&lt;=8.5,"70-74.99",IF(BN60&lt;=9.5,"75-79.99","10")))))))</f>
        <v>70-74.99</v>
      </c>
      <c r="BS60">
        <f>RANK(BN60,$BN$3:$BN$135)</f>
        <v>24</v>
      </c>
    </row>
    <row r="61" spans="1:71" x14ac:dyDescent="0.25">
      <c r="A61" s="14" t="str">
        <f>[2]Sheet1!$A46</f>
        <v>MMS18-20/045</v>
      </c>
      <c r="B61" s="15" t="str">
        <f>[2]Sheet1!$B46</f>
        <v>KOLI PRATIK PRABHAKAR NALINI</v>
      </c>
      <c r="C61" s="16">
        <f>'[3]1st Subject'!$C47</f>
        <v>30</v>
      </c>
      <c r="D61" s="16">
        <f>'[3]1st Subject'!$D47</f>
        <v>40</v>
      </c>
      <c r="E61" s="27">
        <f>D61+C61</f>
        <v>70</v>
      </c>
      <c r="F61" s="18" t="str">
        <f>IF(E61&lt;50,"F",IF(E61&lt;=54.99,"P",IF(E61&lt;=59.99,"C",IF(E61&lt;=64.99,"B",IF(E61&lt;=69.99,"B+",IF(E61&lt;=74.99,"A",IF(E61&lt;=79.99,"A+","O")))))))</f>
        <v>A</v>
      </c>
      <c r="G61" s="18" t="str">
        <f>IF(E61&lt;50,"0",IF(E61&lt;=54.99,"4",IF(E61&lt;=59.99,"5",IF(E61&lt;=64.99,"6",IF(E61&lt;=69.99,"7",IF(E61&lt;=74.99,"8",IF(E61&lt;=79.99,"9","10")))))))</f>
        <v>8</v>
      </c>
      <c r="H61" s="28">
        <v>4</v>
      </c>
      <c r="I61" s="29">
        <f>G61*H61</f>
        <v>32</v>
      </c>
      <c r="J61" s="16">
        <f>'[4]2nd Subject'!$C47</f>
        <v>30</v>
      </c>
      <c r="K61" s="16">
        <f>'[4]2nd Subject'!$D47</f>
        <v>40</v>
      </c>
      <c r="L61" s="27">
        <f>K61+J61</f>
        <v>70</v>
      </c>
      <c r="M61" s="18" t="str">
        <f>IF(L61&lt;50,"F",IF(L61&lt;=54.99,"P",IF(L61&lt;=59.99,"C",IF(L61&lt;=64.99,"B",IF(L61&lt;=69.99,"B+",IF(L61&lt;=74.99,"A",IF(L61&lt;=79.99,"A+","O")))))))</f>
        <v>A</v>
      </c>
      <c r="N61" s="18" t="str">
        <f>IF(L61&lt;50,"0",IF(L61&lt;=54.99,"4",IF(L61&lt;=59.99,"5",IF(L61&lt;=64.99,"6",IF(L61&lt;=69.99,"7",IF(L61&lt;=74.99,"8",IF(L61&lt;=79.99,"9","10")))))))</f>
        <v>8</v>
      </c>
      <c r="O61" s="28">
        <v>4</v>
      </c>
      <c r="P61" s="29">
        <f>N61*O61</f>
        <v>32</v>
      </c>
      <c r="Q61" s="21">
        <f>'[5]3rd Subject'!$C47</f>
        <v>30</v>
      </c>
      <c r="R61" s="21">
        <f>'[5]3rd Subject'!$D47</f>
        <v>40</v>
      </c>
      <c r="S61" s="27">
        <f>R61+Q61</f>
        <v>70</v>
      </c>
      <c r="T61" s="18" t="str">
        <f>IF(S61&lt;50,"F",IF(S61&lt;=54.99,"P",IF(S61&lt;=59.99,"C",IF(S61&lt;=64.99,"B",IF(S61&lt;=69.99,"B+",IF(S61&lt;=74.99,"A",IF(S61&lt;=79.99,"A+","O")))))))</f>
        <v>A</v>
      </c>
      <c r="U61" s="18" t="str">
        <f>IF(S61&lt;50,"0",IF(S61&lt;=54.99,"4",IF(S61&lt;=59.99,"5",IF(S61&lt;=64.99,"6",IF(S61&lt;=69.99,"7",IF(S61&lt;=74.99,"8",IF(S61&lt;=79.99,"9","10")))))))</f>
        <v>8</v>
      </c>
      <c r="V61" s="28">
        <v>4</v>
      </c>
      <c r="W61" s="29">
        <f>U61*V61</f>
        <v>32</v>
      </c>
      <c r="X61" s="22">
        <f>'[6]4th Subject'!$C47</f>
        <v>30</v>
      </c>
      <c r="Y61" s="23">
        <f>'[6]4th Subject'!$D47</f>
        <v>40</v>
      </c>
      <c r="Z61" s="27">
        <f>Y61+X61</f>
        <v>70</v>
      </c>
      <c r="AA61" s="18" t="str">
        <f>IF(Z61&lt;50,"F",IF(Z61&lt;=54.99,"P",IF(Z61&lt;=59.99,"C",IF(Z61&lt;=64.99,"B",IF(Z61&lt;=69.99,"B+",IF(Z61&lt;=74.99,"A",IF(Z61&lt;=79.99,"A+","O")))))))</f>
        <v>A</v>
      </c>
      <c r="AB61" s="18" t="str">
        <f>IF(Z61&lt;50,"0",IF(Z61&lt;=54.99,"4",IF(Z61&lt;=59.99,"5",IF(Z61&lt;=64.99,"6",IF(Z61&lt;=69.99,"7",IF(Z61&lt;=74.99,"8",IF(Z61&lt;=79.99,"9","10")))))))</f>
        <v>8</v>
      </c>
      <c r="AC61" s="28">
        <v>4</v>
      </c>
      <c r="AD61" s="29">
        <f>AB61*AC61</f>
        <v>32</v>
      </c>
      <c r="AE61" s="22">
        <f>'[7]5th Subject'!$C47</f>
        <v>30</v>
      </c>
      <c r="AF61" s="23">
        <f>'[7]5th Subject'!$D47</f>
        <v>40</v>
      </c>
      <c r="AG61" s="27">
        <f>AF61+AE61</f>
        <v>70</v>
      </c>
      <c r="AH61" s="18" t="str">
        <f>IF(AG61&lt;50,"F",IF(AG61&lt;=54.99,"P",IF(AG61&lt;=59.99,"C",IF(AG61&lt;=64.99,"B",IF(AG61&lt;=69.99,"B+",IF(AG61&lt;=74.99,"A",IF(AG61&lt;=79.99,"A+","O")))))))</f>
        <v>A</v>
      </c>
      <c r="AI61" s="18" t="str">
        <f>IF(AG61&lt;50,"0",IF(AG61&lt;=54.99,"4",IF(AG61&lt;=59.99,"5",IF(AG61&lt;=64.99,"6",IF(AG61&lt;=69.99,"7",IF(AG61&lt;=74.99,"8",IF(AG61&lt;=79.99,"9","10")))))))</f>
        <v>8</v>
      </c>
      <c r="AJ61" s="28">
        <v>4</v>
      </c>
      <c r="AK61" s="29">
        <f>AI61*AJ61</f>
        <v>32</v>
      </c>
      <c r="AL61" s="22">
        <f>'[8]6th Subject'!$C47</f>
        <v>30</v>
      </c>
      <c r="AM61" s="22">
        <f>'[8]6th Subject'!$D47</f>
        <v>40</v>
      </c>
      <c r="AN61" s="27">
        <f>AM61+AL61</f>
        <v>70</v>
      </c>
      <c r="AO61" s="18" t="str">
        <f>IF(AN61&lt;50,"F",IF(AN61&lt;=54.99,"P",IF(AN61&lt;=59.99,"C",IF(AN61&lt;=64.99,"B",IF(AN61&lt;=69.99,"B+",IF(AN61&lt;=74.99,"A",IF(AN61&lt;=79.99,"A+","O")))))))</f>
        <v>A</v>
      </c>
      <c r="AP61" s="18" t="str">
        <f>IF(AN61&lt;50,"0",IF(AN61&lt;=54.99,"4",IF(AN61&lt;=59.99,"5",IF(AN61&lt;=64.99,"6",IF(AN61&lt;=69.99,"7",IF(AN61&lt;=74.99,"8",IF(AN61&lt;=79.99,"9","10")))))))</f>
        <v>8</v>
      </c>
      <c r="AQ61" s="28">
        <v>4</v>
      </c>
      <c r="AR61" s="29">
        <f>AP61*AQ61</f>
        <v>32</v>
      </c>
      <c r="AS61" s="16">
        <f>'[9]7th Subject'!$C47</f>
        <v>30</v>
      </c>
      <c r="AT61" s="16">
        <f>'[9]7th Subject'!$D47</f>
        <v>40</v>
      </c>
      <c r="AU61" s="27">
        <f>AT61+AS61</f>
        <v>70</v>
      </c>
      <c r="AV61" s="18" t="str">
        <f>IF(AU61&lt;50,"F",IF(AU61&lt;=54.99,"P",IF(AU61&lt;=59.99,"C",IF(AU61&lt;=64.99,"B",IF(AU61&lt;=69.99,"B+",IF(AU61&lt;=74.99,"A",IF(AU61&lt;=79.99,"A+","O")))))))</f>
        <v>A</v>
      </c>
      <c r="AW61" s="18" t="str">
        <f>IF(AU61&lt;50,"0",IF(AU61&lt;=54.99,"4",IF(AU61&lt;=59.99,"5",IF(AU61&lt;=64.99,"6",IF(AU61&lt;=69.99,"7",IF(AU61&lt;=74.99,"8",IF(AU61&lt;=79.99,"9","10")))))))</f>
        <v>8</v>
      </c>
      <c r="AX61" s="28">
        <v>4</v>
      </c>
      <c r="AY61" s="29">
        <f>AW61*AX61</f>
        <v>32</v>
      </c>
      <c r="AZ61" s="22">
        <f>'[10]8th Subject'!$C47</f>
        <v>30</v>
      </c>
      <c r="BA61" s="22">
        <f>'[10]8th Subject'!$D47</f>
        <v>40</v>
      </c>
      <c r="BB61" s="27">
        <f>BA61+AZ61</f>
        <v>70</v>
      </c>
      <c r="BC61" s="18" t="str">
        <f>IF(BB61&lt;50,"F",IF(BB61&lt;=54.99,"P",IF(BB61&lt;=59.99,"C",IF(BB61&lt;=64.99,"B",IF(BB61&lt;=69.99,"B+",IF(BB61&lt;=74.99,"A",IF(BB61&lt;=79.99,"A+","O")))))))</f>
        <v>A</v>
      </c>
      <c r="BD61" s="18" t="str">
        <f>IF(BB61&lt;50,"0",IF(BB61&lt;=54.99,"4",IF(BB61&lt;=59.99,"5",IF(BB61&lt;=64.99,"6",IF(BB61&lt;=69.99,"7",IF(BB61&lt;=74.99,"8",IF(BB61&lt;=79.99,"9","10")))))))</f>
        <v>8</v>
      </c>
      <c r="BE61" s="28">
        <v>4</v>
      </c>
      <c r="BF61" s="29">
        <f>BD61*BE61</f>
        <v>32</v>
      </c>
      <c r="BG61" s="27">
        <f>AZ61+AS61+AE61+X61+J61+C61+Q61+AL61</f>
        <v>240</v>
      </c>
      <c r="BH61" s="27">
        <f>BA61+AT61+AF61+Y61+K61+D61+R61+AM61</f>
        <v>320</v>
      </c>
      <c r="BI61" s="27">
        <f>BH61+BG61</f>
        <v>560</v>
      </c>
      <c r="BJ61" s="30">
        <f>G61+N61+U61+AB61+AI61+AP61+BD61+AW61</f>
        <v>64</v>
      </c>
      <c r="BK61" s="30">
        <f>I61+P61+W61+AD61+AK61+AY61+BF61+AR61</f>
        <v>256</v>
      </c>
      <c r="BL61" s="25">
        <f>(BN61-0.75)*10</f>
        <v>72.5</v>
      </c>
      <c r="BM61" s="17" t="str">
        <f>IF(OR(C61&lt;20,D61&lt;30,J61&lt;20,K61&lt;30,Q61&lt;20,R61&lt;30,X61&lt;20,Y61&lt;30,AE61&lt;20,AF61&lt;30,AL61&lt;20,AM61&lt;30,AS61&lt;20,AT61&lt;30,AZ61&lt;20,BA61&lt;30),"Unsuccessful","Successful")</f>
        <v>Successful</v>
      </c>
      <c r="BN61" s="31">
        <f>BK61/32</f>
        <v>8</v>
      </c>
      <c r="BO61" s="18" t="str">
        <f>IF(BN61&lt;=4,"F",IF(BN61&lt;=4.5,"P",IF(BN61&lt;=5.5,"C",IF(BN61&lt;=6.5,"B",IF(BN61&lt;=7.5,"B+",IF(BN61&lt;=8.5,"A",IF(BN61&lt;=9.5,"A+","O")))))))</f>
        <v>A</v>
      </c>
      <c r="BP61" s="14" t="str">
        <f>IF(BN61&lt;=4,"50",IF(BN61&lt;=4.5,"50-54.99",IF(BN61&lt;=5.5,"55-59.99",IF(BN61&lt;=6.5,"60-64.99",IF(BN61&lt;=7.5,"65-69.99",IF(BN61&lt;=8.5,"70-74.99",IF(BN61&lt;=9.5,"75-79.99","10")))))))</f>
        <v>70-74.99</v>
      </c>
      <c r="BS61">
        <f>RANK(BN61,$BN$3:$BN$135)</f>
        <v>24</v>
      </c>
    </row>
    <row r="62" spans="1:71" x14ac:dyDescent="0.25">
      <c r="A62" s="14" t="str">
        <f>[2]Sheet1!$A57</f>
        <v>MMS18-20/056</v>
      </c>
      <c r="B62" s="15" t="str">
        <f>[2]Sheet1!$B57</f>
        <v>SHAIKH SAMEER MOHAMMADHUSSAIN FATIMA</v>
      </c>
      <c r="C62" s="16">
        <f>'[3]1st Subject'!$C58</f>
        <v>30</v>
      </c>
      <c r="D62" s="16">
        <f>'[3]1st Subject'!$D58</f>
        <v>40</v>
      </c>
      <c r="E62" s="27">
        <f>D62+C62</f>
        <v>70</v>
      </c>
      <c r="F62" s="18" t="str">
        <f>IF(E62&lt;50,"F",IF(E62&lt;=54.99,"P",IF(E62&lt;=59.99,"C",IF(E62&lt;=64.99,"B",IF(E62&lt;=69.99,"B+",IF(E62&lt;=74.99,"A",IF(E62&lt;=79.99,"A+","O")))))))</f>
        <v>A</v>
      </c>
      <c r="G62" s="18" t="str">
        <f>IF(E62&lt;50,"0",IF(E62&lt;=54.99,"4",IF(E62&lt;=59.99,"5",IF(E62&lt;=64.99,"6",IF(E62&lt;=69.99,"7",IF(E62&lt;=74.99,"8",IF(E62&lt;=79.99,"9","10")))))))</f>
        <v>8</v>
      </c>
      <c r="H62" s="28">
        <v>4</v>
      </c>
      <c r="I62" s="29">
        <f>G62*H62</f>
        <v>32</v>
      </c>
      <c r="J62" s="16">
        <f>'[4]2nd Subject'!$C58</f>
        <v>30</v>
      </c>
      <c r="K62" s="16">
        <f>'[4]2nd Subject'!$D58</f>
        <v>40</v>
      </c>
      <c r="L62" s="27">
        <f>K62+J62</f>
        <v>70</v>
      </c>
      <c r="M62" s="18" t="str">
        <f>IF(L62&lt;50,"F",IF(L62&lt;=54.99,"P",IF(L62&lt;=59.99,"C",IF(L62&lt;=64.99,"B",IF(L62&lt;=69.99,"B+",IF(L62&lt;=74.99,"A",IF(L62&lt;=79.99,"A+","O")))))))</f>
        <v>A</v>
      </c>
      <c r="N62" s="18" t="str">
        <f>IF(L62&lt;50,"0",IF(L62&lt;=54.99,"4",IF(L62&lt;=59.99,"5",IF(L62&lt;=64.99,"6",IF(L62&lt;=69.99,"7",IF(L62&lt;=74.99,"8",IF(L62&lt;=79.99,"9","10")))))))</f>
        <v>8</v>
      </c>
      <c r="O62" s="28">
        <v>4</v>
      </c>
      <c r="P62" s="29">
        <f>N62*O62</f>
        <v>32</v>
      </c>
      <c r="Q62" s="21">
        <f>'[5]3rd Subject'!$C58</f>
        <v>30</v>
      </c>
      <c r="R62" s="21">
        <f>'[5]3rd Subject'!$D58</f>
        <v>40</v>
      </c>
      <c r="S62" s="27">
        <f>R62+Q62</f>
        <v>70</v>
      </c>
      <c r="T62" s="18" t="str">
        <f>IF(S62&lt;50,"F",IF(S62&lt;=54.99,"P",IF(S62&lt;=59.99,"C",IF(S62&lt;=64.99,"B",IF(S62&lt;=69.99,"B+",IF(S62&lt;=74.99,"A",IF(S62&lt;=79.99,"A+","O")))))))</f>
        <v>A</v>
      </c>
      <c r="U62" s="18" t="str">
        <f>IF(S62&lt;50,"0",IF(S62&lt;=54.99,"4",IF(S62&lt;=59.99,"5",IF(S62&lt;=64.99,"6",IF(S62&lt;=69.99,"7",IF(S62&lt;=74.99,"8",IF(S62&lt;=79.99,"9","10")))))))</f>
        <v>8</v>
      </c>
      <c r="V62" s="28">
        <v>4</v>
      </c>
      <c r="W62" s="29">
        <f>U62*V62</f>
        <v>32</v>
      </c>
      <c r="X62" s="22">
        <f>'[6]4th Subject'!$C58</f>
        <v>30</v>
      </c>
      <c r="Y62" s="23">
        <f>'[6]4th Subject'!$D58</f>
        <v>40</v>
      </c>
      <c r="Z62" s="27">
        <f>Y62+X62</f>
        <v>70</v>
      </c>
      <c r="AA62" s="18" t="str">
        <f>IF(Z62&lt;50,"F",IF(Z62&lt;=54.99,"P",IF(Z62&lt;=59.99,"C",IF(Z62&lt;=64.99,"B",IF(Z62&lt;=69.99,"B+",IF(Z62&lt;=74.99,"A",IF(Z62&lt;=79.99,"A+","O")))))))</f>
        <v>A</v>
      </c>
      <c r="AB62" s="18" t="str">
        <f>IF(Z62&lt;50,"0",IF(Z62&lt;=54.99,"4",IF(Z62&lt;=59.99,"5",IF(Z62&lt;=64.99,"6",IF(Z62&lt;=69.99,"7",IF(Z62&lt;=74.99,"8",IF(Z62&lt;=79.99,"9","10")))))))</f>
        <v>8</v>
      </c>
      <c r="AC62" s="28">
        <v>4</v>
      </c>
      <c r="AD62" s="29">
        <f>AB62*AC62</f>
        <v>32</v>
      </c>
      <c r="AE62" s="22">
        <f>'[7]5th Subject'!$C58</f>
        <v>30</v>
      </c>
      <c r="AF62" s="23">
        <f>'[7]5th Subject'!$D58</f>
        <v>40</v>
      </c>
      <c r="AG62" s="27">
        <f>AF62+AE62</f>
        <v>70</v>
      </c>
      <c r="AH62" s="18" t="str">
        <f>IF(AG62&lt;50,"F",IF(AG62&lt;=54.99,"P",IF(AG62&lt;=59.99,"C",IF(AG62&lt;=64.99,"B",IF(AG62&lt;=69.99,"B+",IF(AG62&lt;=74.99,"A",IF(AG62&lt;=79.99,"A+","O")))))))</f>
        <v>A</v>
      </c>
      <c r="AI62" s="18" t="str">
        <f>IF(AG62&lt;50,"0",IF(AG62&lt;=54.99,"4",IF(AG62&lt;=59.99,"5",IF(AG62&lt;=64.99,"6",IF(AG62&lt;=69.99,"7",IF(AG62&lt;=74.99,"8",IF(AG62&lt;=79.99,"9","10")))))))</f>
        <v>8</v>
      </c>
      <c r="AJ62" s="28">
        <v>4</v>
      </c>
      <c r="AK62" s="29">
        <f>AI62*AJ62</f>
        <v>32</v>
      </c>
      <c r="AL62" s="22">
        <f>'[8]6th Subject'!$C58</f>
        <v>30</v>
      </c>
      <c r="AM62" s="22">
        <f>'[8]6th Subject'!$D58</f>
        <v>40</v>
      </c>
      <c r="AN62" s="27">
        <f>AM62+AL62</f>
        <v>70</v>
      </c>
      <c r="AO62" s="18" t="str">
        <f>IF(AN62&lt;50,"F",IF(AN62&lt;=54.99,"P",IF(AN62&lt;=59.99,"C",IF(AN62&lt;=64.99,"B",IF(AN62&lt;=69.99,"B+",IF(AN62&lt;=74.99,"A",IF(AN62&lt;=79.99,"A+","O")))))))</f>
        <v>A</v>
      </c>
      <c r="AP62" s="18" t="str">
        <f>IF(AN62&lt;50,"0",IF(AN62&lt;=54.99,"4",IF(AN62&lt;=59.99,"5",IF(AN62&lt;=64.99,"6",IF(AN62&lt;=69.99,"7",IF(AN62&lt;=74.99,"8",IF(AN62&lt;=79.99,"9","10")))))))</f>
        <v>8</v>
      </c>
      <c r="AQ62" s="28">
        <v>4</v>
      </c>
      <c r="AR62" s="29">
        <f>AP62*AQ62</f>
        <v>32</v>
      </c>
      <c r="AS62" s="16">
        <f>'[9]7th Subject'!$C58</f>
        <v>30</v>
      </c>
      <c r="AT62" s="16">
        <f>'[9]7th Subject'!$D58</f>
        <v>40</v>
      </c>
      <c r="AU62" s="27">
        <f>AT62+AS62</f>
        <v>70</v>
      </c>
      <c r="AV62" s="18" t="str">
        <f>IF(AU62&lt;50,"F",IF(AU62&lt;=54.99,"P",IF(AU62&lt;=59.99,"C",IF(AU62&lt;=64.99,"B",IF(AU62&lt;=69.99,"B+",IF(AU62&lt;=74.99,"A",IF(AU62&lt;=79.99,"A+","O")))))))</f>
        <v>A</v>
      </c>
      <c r="AW62" s="18" t="str">
        <f>IF(AU62&lt;50,"0",IF(AU62&lt;=54.99,"4",IF(AU62&lt;=59.99,"5",IF(AU62&lt;=64.99,"6",IF(AU62&lt;=69.99,"7",IF(AU62&lt;=74.99,"8",IF(AU62&lt;=79.99,"9","10")))))))</f>
        <v>8</v>
      </c>
      <c r="AX62" s="28">
        <v>4</v>
      </c>
      <c r="AY62" s="29">
        <f>AW62*AX62</f>
        <v>32</v>
      </c>
      <c r="AZ62" s="22">
        <f>'[10]8th Subject'!$C58</f>
        <v>30</v>
      </c>
      <c r="BA62" s="22">
        <f>'[10]8th Subject'!$D58</f>
        <v>40</v>
      </c>
      <c r="BB62" s="27">
        <f>BA62+AZ62</f>
        <v>70</v>
      </c>
      <c r="BC62" s="18" t="str">
        <f>IF(BB62&lt;50,"F",IF(BB62&lt;=54.99,"P",IF(BB62&lt;=59.99,"C",IF(BB62&lt;=64.99,"B",IF(BB62&lt;=69.99,"B+",IF(BB62&lt;=74.99,"A",IF(BB62&lt;=79.99,"A+","O")))))))</f>
        <v>A</v>
      </c>
      <c r="BD62" s="18" t="str">
        <f>IF(BB62&lt;50,"0",IF(BB62&lt;=54.99,"4",IF(BB62&lt;=59.99,"5",IF(BB62&lt;=64.99,"6",IF(BB62&lt;=69.99,"7",IF(BB62&lt;=74.99,"8",IF(BB62&lt;=79.99,"9","10")))))))</f>
        <v>8</v>
      </c>
      <c r="BE62" s="28">
        <v>4</v>
      </c>
      <c r="BF62" s="29">
        <f>BD62*BE62</f>
        <v>32</v>
      </c>
      <c r="BG62" s="27">
        <f>AZ62+AS62+AE62+X62+J62+C62+Q62+AL62</f>
        <v>240</v>
      </c>
      <c r="BH62" s="27">
        <f>BA62+AT62+AF62+Y62+K62+D62+R62+AM62</f>
        <v>320</v>
      </c>
      <c r="BI62" s="27">
        <f>BH62+BG62</f>
        <v>560</v>
      </c>
      <c r="BJ62" s="30">
        <f>G62+N62+U62+AB62+AI62+AP62+BD62+AW62</f>
        <v>64</v>
      </c>
      <c r="BK62" s="30">
        <f>I62+P62+W62+AD62+AK62+AY62+BF62+AR62</f>
        <v>256</v>
      </c>
      <c r="BL62" s="25">
        <f>(BN62-0.75)*10</f>
        <v>72.5</v>
      </c>
      <c r="BM62" s="17" t="str">
        <f>IF(OR(C62&lt;20,D62&lt;30,J62&lt;20,K62&lt;30,Q62&lt;20,R62&lt;30,X62&lt;20,Y62&lt;30,AE62&lt;20,AF62&lt;30,AL62&lt;20,AM62&lt;30,AS62&lt;20,AT62&lt;30,AZ62&lt;20,BA62&lt;30),"Unsuccessful","Successful")</f>
        <v>Successful</v>
      </c>
      <c r="BN62" s="31">
        <f>BK62/32</f>
        <v>8</v>
      </c>
      <c r="BO62" s="18" t="str">
        <f>IF(BN62&lt;=4,"F",IF(BN62&lt;=4.5,"P",IF(BN62&lt;=5.5,"C",IF(BN62&lt;=6.5,"B",IF(BN62&lt;=7.5,"B+",IF(BN62&lt;=8.5,"A",IF(BN62&lt;=9.5,"A+","O")))))))</f>
        <v>A</v>
      </c>
      <c r="BP62" s="14" t="str">
        <f>IF(BN62&lt;=4,"50",IF(BN62&lt;=4.5,"50-54.99",IF(BN62&lt;=5.5,"55-59.99",IF(BN62&lt;=6.5,"60-64.99",IF(BN62&lt;=7.5,"65-69.99",IF(BN62&lt;=8.5,"70-74.99",IF(BN62&lt;=9.5,"75-79.99","10")))))))</f>
        <v>70-74.99</v>
      </c>
      <c r="BS62">
        <f>RANK(BN62,$BN$3:$BN$135)</f>
        <v>24</v>
      </c>
    </row>
    <row r="63" spans="1:71" x14ac:dyDescent="0.25">
      <c r="A63" s="14" t="str">
        <f>[2]Sheet1!$A68</f>
        <v>MMS18-20/067</v>
      </c>
      <c r="B63" s="15" t="str">
        <f>[2]Sheet1!$B68</f>
        <v>/GUNDU MEGHNA GUNASHALI SUJATHA</v>
      </c>
      <c r="C63" s="16">
        <f>'[3]1st Subject'!$C69</f>
        <v>30</v>
      </c>
      <c r="D63" s="16">
        <f>'[3]1st Subject'!$D69</f>
        <v>40</v>
      </c>
      <c r="E63" s="27">
        <f>D63+C63</f>
        <v>70</v>
      </c>
      <c r="F63" s="18" t="str">
        <f>IF(E63&lt;50,"F",IF(E63&lt;=54.99,"P",IF(E63&lt;=59.99,"C",IF(E63&lt;=64.99,"B",IF(E63&lt;=69.99,"B+",IF(E63&lt;=74.99,"A",IF(E63&lt;=79.99,"A+","O")))))))</f>
        <v>A</v>
      </c>
      <c r="G63" s="18" t="str">
        <f>IF(E63&lt;50,"0",IF(E63&lt;=54.99,"4",IF(E63&lt;=59.99,"5",IF(E63&lt;=64.99,"6",IF(E63&lt;=69.99,"7",IF(E63&lt;=74.99,"8",IF(E63&lt;=79.99,"9","10")))))))</f>
        <v>8</v>
      </c>
      <c r="H63" s="28">
        <v>4</v>
      </c>
      <c r="I63" s="29">
        <f>G63*H63</f>
        <v>32</v>
      </c>
      <c r="J63" s="16">
        <f>'[4]2nd Subject'!$C69</f>
        <v>30</v>
      </c>
      <c r="K63" s="16">
        <f>'[4]2nd Subject'!$D69</f>
        <v>40</v>
      </c>
      <c r="L63" s="27">
        <f>K63+J63</f>
        <v>70</v>
      </c>
      <c r="M63" s="18" t="str">
        <f>IF(L63&lt;50,"F",IF(L63&lt;=54.99,"P",IF(L63&lt;=59.99,"C",IF(L63&lt;=64.99,"B",IF(L63&lt;=69.99,"B+",IF(L63&lt;=74.99,"A",IF(L63&lt;=79.99,"A+","O")))))))</f>
        <v>A</v>
      </c>
      <c r="N63" s="18" t="str">
        <f>IF(L63&lt;50,"0",IF(L63&lt;=54.99,"4",IF(L63&lt;=59.99,"5",IF(L63&lt;=64.99,"6",IF(L63&lt;=69.99,"7",IF(L63&lt;=74.99,"8",IF(L63&lt;=79.99,"9","10")))))))</f>
        <v>8</v>
      </c>
      <c r="O63" s="28">
        <v>4</v>
      </c>
      <c r="P63" s="29">
        <f>N63*O63</f>
        <v>32</v>
      </c>
      <c r="Q63" s="21">
        <f>'[5]3rd Subject'!$C69</f>
        <v>30</v>
      </c>
      <c r="R63" s="21">
        <f>'[5]3rd Subject'!$D69</f>
        <v>40</v>
      </c>
      <c r="S63" s="27">
        <f>R63+Q63</f>
        <v>70</v>
      </c>
      <c r="T63" s="18" t="str">
        <f>IF(S63&lt;50,"F",IF(S63&lt;=54.99,"P",IF(S63&lt;=59.99,"C",IF(S63&lt;=64.99,"B",IF(S63&lt;=69.99,"B+",IF(S63&lt;=74.99,"A",IF(S63&lt;=79.99,"A+","O")))))))</f>
        <v>A</v>
      </c>
      <c r="U63" s="18" t="str">
        <f>IF(S63&lt;50,"0",IF(S63&lt;=54.99,"4",IF(S63&lt;=59.99,"5",IF(S63&lt;=64.99,"6",IF(S63&lt;=69.99,"7",IF(S63&lt;=74.99,"8",IF(S63&lt;=79.99,"9","10")))))))</f>
        <v>8</v>
      </c>
      <c r="V63" s="28">
        <v>4</v>
      </c>
      <c r="W63" s="29">
        <f>U63*V63</f>
        <v>32</v>
      </c>
      <c r="X63" s="22">
        <f>'[6]4th Subject'!$C69</f>
        <v>30</v>
      </c>
      <c r="Y63" s="23">
        <f>'[6]4th Subject'!$D69</f>
        <v>40</v>
      </c>
      <c r="Z63" s="27">
        <f>Y63+X63</f>
        <v>70</v>
      </c>
      <c r="AA63" s="18" t="str">
        <f>IF(Z63&lt;50,"F",IF(Z63&lt;=54.99,"P",IF(Z63&lt;=59.99,"C",IF(Z63&lt;=64.99,"B",IF(Z63&lt;=69.99,"B+",IF(Z63&lt;=74.99,"A",IF(Z63&lt;=79.99,"A+","O")))))))</f>
        <v>A</v>
      </c>
      <c r="AB63" s="18" t="str">
        <f>IF(Z63&lt;50,"0",IF(Z63&lt;=54.99,"4",IF(Z63&lt;=59.99,"5",IF(Z63&lt;=64.99,"6",IF(Z63&lt;=69.99,"7",IF(Z63&lt;=74.99,"8",IF(Z63&lt;=79.99,"9","10")))))))</f>
        <v>8</v>
      </c>
      <c r="AC63" s="28">
        <v>4</v>
      </c>
      <c r="AD63" s="29">
        <f>AB63*AC63</f>
        <v>32</v>
      </c>
      <c r="AE63" s="22">
        <f>'[7]5th Subject'!$C69</f>
        <v>30</v>
      </c>
      <c r="AF63" s="23">
        <f>'[7]5th Subject'!$D69</f>
        <v>40</v>
      </c>
      <c r="AG63" s="27">
        <f>AF63+AE63</f>
        <v>70</v>
      </c>
      <c r="AH63" s="18" t="str">
        <f>IF(AG63&lt;50,"F",IF(AG63&lt;=54.99,"P",IF(AG63&lt;=59.99,"C",IF(AG63&lt;=64.99,"B",IF(AG63&lt;=69.99,"B+",IF(AG63&lt;=74.99,"A",IF(AG63&lt;=79.99,"A+","O")))))))</f>
        <v>A</v>
      </c>
      <c r="AI63" s="18" t="str">
        <f>IF(AG63&lt;50,"0",IF(AG63&lt;=54.99,"4",IF(AG63&lt;=59.99,"5",IF(AG63&lt;=64.99,"6",IF(AG63&lt;=69.99,"7",IF(AG63&lt;=74.99,"8",IF(AG63&lt;=79.99,"9","10")))))))</f>
        <v>8</v>
      </c>
      <c r="AJ63" s="28">
        <v>4</v>
      </c>
      <c r="AK63" s="29">
        <f>AI63*AJ63</f>
        <v>32</v>
      </c>
      <c r="AL63" s="22">
        <f>'[8]6th Subject'!$C69</f>
        <v>30</v>
      </c>
      <c r="AM63" s="22">
        <f>'[8]6th Subject'!$D69</f>
        <v>40</v>
      </c>
      <c r="AN63" s="27">
        <f>AM63+AL63</f>
        <v>70</v>
      </c>
      <c r="AO63" s="18" t="str">
        <f>IF(AN63&lt;50,"F",IF(AN63&lt;=54.99,"P",IF(AN63&lt;=59.99,"C",IF(AN63&lt;=64.99,"B",IF(AN63&lt;=69.99,"B+",IF(AN63&lt;=74.99,"A",IF(AN63&lt;=79.99,"A+","O")))))))</f>
        <v>A</v>
      </c>
      <c r="AP63" s="18" t="str">
        <f>IF(AN63&lt;50,"0",IF(AN63&lt;=54.99,"4",IF(AN63&lt;=59.99,"5",IF(AN63&lt;=64.99,"6",IF(AN63&lt;=69.99,"7",IF(AN63&lt;=74.99,"8",IF(AN63&lt;=79.99,"9","10")))))))</f>
        <v>8</v>
      </c>
      <c r="AQ63" s="28">
        <v>4</v>
      </c>
      <c r="AR63" s="29">
        <f>AP63*AQ63</f>
        <v>32</v>
      </c>
      <c r="AS63" s="16">
        <f>'[9]7th Subject'!$C69</f>
        <v>30</v>
      </c>
      <c r="AT63" s="16">
        <f>'[9]7th Subject'!$D69</f>
        <v>40</v>
      </c>
      <c r="AU63" s="27">
        <f>AT63+AS63</f>
        <v>70</v>
      </c>
      <c r="AV63" s="18" t="str">
        <f>IF(AU63&lt;50,"F",IF(AU63&lt;=54.99,"P",IF(AU63&lt;=59.99,"C",IF(AU63&lt;=64.99,"B",IF(AU63&lt;=69.99,"B+",IF(AU63&lt;=74.99,"A",IF(AU63&lt;=79.99,"A+","O")))))))</f>
        <v>A</v>
      </c>
      <c r="AW63" s="18" t="str">
        <f>IF(AU63&lt;50,"0",IF(AU63&lt;=54.99,"4",IF(AU63&lt;=59.99,"5",IF(AU63&lt;=64.99,"6",IF(AU63&lt;=69.99,"7",IF(AU63&lt;=74.99,"8",IF(AU63&lt;=79.99,"9","10")))))))</f>
        <v>8</v>
      </c>
      <c r="AX63" s="28">
        <v>4</v>
      </c>
      <c r="AY63" s="29">
        <f>AW63*AX63</f>
        <v>32</v>
      </c>
      <c r="AZ63" s="22">
        <f>'[10]8th Subject'!$C69</f>
        <v>30</v>
      </c>
      <c r="BA63" s="22">
        <f>'[10]8th Subject'!$D69</f>
        <v>40</v>
      </c>
      <c r="BB63" s="27">
        <f>BA63+AZ63</f>
        <v>70</v>
      </c>
      <c r="BC63" s="18" t="str">
        <f>IF(BB63&lt;50,"F",IF(BB63&lt;=54.99,"P",IF(BB63&lt;=59.99,"C",IF(BB63&lt;=64.99,"B",IF(BB63&lt;=69.99,"B+",IF(BB63&lt;=74.99,"A",IF(BB63&lt;=79.99,"A+","O")))))))</f>
        <v>A</v>
      </c>
      <c r="BD63" s="18" t="str">
        <f>IF(BB63&lt;50,"0",IF(BB63&lt;=54.99,"4",IF(BB63&lt;=59.99,"5",IF(BB63&lt;=64.99,"6",IF(BB63&lt;=69.99,"7",IF(BB63&lt;=74.99,"8",IF(BB63&lt;=79.99,"9","10")))))))</f>
        <v>8</v>
      </c>
      <c r="BE63" s="28">
        <v>4</v>
      </c>
      <c r="BF63" s="29">
        <f>BD63*BE63</f>
        <v>32</v>
      </c>
      <c r="BG63" s="27">
        <f>AZ63+AS63+AE63+X63+J63+C63+Q63+AL63</f>
        <v>240</v>
      </c>
      <c r="BH63" s="27">
        <f>BA63+AT63+AF63+Y63+K63+D63+R63+AM63</f>
        <v>320</v>
      </c>
      <c r="BI63" s="27">
        <f>BH63+BG63</f>
        <v>560</v>
      </c>
      <c r="BJ63" s="30">
        <f>G63+N63+U63+AB63+AI63+AP63+BD63+AW63</f>
        <v>64</v>
      </c>
      <c r="BK63" s="30">
        <f>I63+P63+W63+AD63+AK63+AY63+BF63+AR63</f>
        <v>256</v>
      </c>
      <c r="BL63" s="25">
        <f>(BN63-0.75)*10</f>
        <v>72.5</v>
      </c>
      <c r="BM63" s="17" t="str">
        <f>IF(OR(C63&lt;20,D63&lt;30,J63&lt;20,K63&lt;30,Q63&lt;20,R63&lt;30,X63&lt;20,Y63&lt;30,AE63&lt;20,AF63&lt;30,AL63&lt;20,AM63&lt;30,AS63&lt;20,AT63&lt;30,AZ63&lt;20,BA63&lt;30),"Unsuccessful","Successful")</f>
        <v>Successful</v>
      </c>
      <c r="BN63" s="31">
        <f>BK63/32</f>
        <v>8</v>
      </c>
      <c r="BO63" s="18" t="str">
        <f>IF(BN63&lt;=4,"F",IF(BN63&lt;=4.5,"P",IF(BN63&lt;=5.5,"C",IF(BN63&lt;=6.5,"B",IF(BN63&lt;=7.5,"B+",IF(BN63&lt;=8.5,"A",IF(BN63&lt;=9.5,"A+","O")))))))</f>
        <v>A</v>
      </c>
      <c r="BP63" s="14" t="str">
        <f>IF(BN63&lt;=4,"50",IF(BN63&lt;=4.5,"50-54.99",IF(BN63&lt;=5.5,"55-59.99",IF(BN63&lt;=6.5,"60-64.99",IF(BN63&lt;=7.5,"65-69.99",IF(BN63&lt;=8.5,"70-74.99",IF(BN63&lt;=9.5,"75-79.99","10")))))))</f>
        <v>70-74.99</v>
      </c>
      <c r="BS63">
        <f>RANK(BN63,$BN$3:$BN$135)</f>
        <v>24</v>
      </c>
    </row>
    <row r="64" spans="1:71" x14ac:dyDescent="0.25">
      <c r="A64" s="14" t="str">
        <f>[2]Sheet1!$A79</f>
        <v>MMS18-20/078</v>
      </c>
      <c r="B64" s="15" t="str">
        <f>[2]Sheet1!$B79</f>
        <v xml:space="preserve">PATEKAR RUPESH GANESH MANJULA </v>
      </c>
      <c r="C64" s="16">
        <f>'[3]1st Subject'!$C80</f>
        <v>30</v>
      </c>
      <c r="D64" s="16">
        <f>'[3]1st Subject'!$D80</f>
        <v>40</v>
      </c>
      <c r="E64" s="27">
        <f>D64+C64</f>
        <v>70</v>
      </c>
      <c r="F64" s="18" t="str">
        <f>IF(E64&lt;50,"F",IF(E64&lt;=54.99,"P",IF(E64&lt;=59.99,"C",IF(E64&lt;=64.99,"B",IF(E64&lt;=69.99,"B+",IF(E64&lt;=74.99,"A",IF(E64&lt;=79.99,"A+","O")))))))</f>
        <v>A</v>
      </c>
      <c r="G64" s="18" t="str">
        <f>IF(E64&lt;50,"0",IF(E64&lt;=54.99,"4",IF(E64&lt;=59.99,"5",IF(E64&lt;=64.99,"6",IF(E64&lt;=69.99,"7",IF(E64&lt;=74.99,"8",IF(E64&lt;=79.99,"9","10")))))))</f>
        <v>8</v>
      </c>
      <c r="H64" s="28">
        <v>4</v>
      </c>
      <c r="I64" s="29">
        <f>G64*H64</f>
        <v>32</v>
      </c>
      <c r="J64" s="16">
        <f>'[4]2nd Subject'!$C80</f>
        <v>30</v>
      </c>
      <c r="K64" s="16">
        <f>'[4]2nd Subject'!$D80</f>
        <v>40</v>
      </c>
      <c r="L64" s="27">
        <f>K64+J64</f>
        <v>70</v>
      </c>
      <c r="M64" s="18" t="str">
        <f>IF(L64&lt;50,"F",IF(L64&lt;=54.99,"P",IF(L64&lt;=59.99,"C",IF(L64&lt;=64.99,"B",IF(L64&lt;=69.99,"B+",IF(L64&lt;=74.99,"A",IF(L64&lt;=79.99,"A+","O")))))))</f>
        <v>A</v>
      </c>
      <c r="N64" s="18" t="str">
        <f>IF(L64&lt;50,"0",IF(L64&lt;=54.99,"4",IF(L64&lt;=59.99,"5",IF(L64&lt;=64.99,"6",IF(L64&lt;=69.99,"7",IF(L64&lt;=74.99,"8",IF(L64&lt;=79.99,"9","10")))))))</f>
        <v>8</v>
      </c>
      <c r="O64" s="28">
        <v>4</v>
      </c>
      <c r="P64" s="29">
        <f>N64*O64</f>
        <v>32</v>
      </c>
      <c r="Q64" s="21">
        <f>'[5]3rd Subject'!$C80</f>
        <v>30</v>
      </c>
      <c r="R64" s="21">
        <f>'[5]3rd Subject'!$D80</f>
        <v>40</v>
      </c>
      <c r="S64" s="27">
        <f>R64+Q64</f>
        <v>70</v>
      </c>
      <c r="T64" s="18" t="str">
        <f>IF(S64&lt;50,"F",IF(S64&lt;=54.99,"P",IF(S64&lt;=59.99,"C",IF(S64&lt;=64.99,"B",IF(S64&lt;=69.99,"B+",IF(S64&lt;=74.99,"A",IF(S64&lt;=79.99,"A+","O")))))))</f>
        <v>A</v>
      </c>
      <c r="U64" s="18" t="str">
        <f>IF(S64&lt;50,"0",IF(S64&lt;=54.99,"4",IF(S64&lt;=59.99,"5",IF(S64&lt;=64.99,"6",IF(S64&lt;=69.99,"7",IF(S64&lt;=74.99,"8",IF(S64&lt;=79.99,"9","10")))))))</f>
        <v>8</v>
      </c>
      <c r="V64" s="28">
        <v>4</v>
      </c>
      <c r="W64" s="29">
        <f>U64*V64</f>
        <v>32</v>
      </c>
      <c r="X64" s="22">
        <f>'[6]4th Subject'!$C80</f>
        <v>30</v>
      </c>
      <c r="Y64" s="23">
        <f>'[6]4th Subject'!$D80</f>
        <v>40</v>
      </c>
      <c r="Z64" s="27">
        <f>Y64+X64</f>
        <v>70</v>
      </c>
      <c r="AA64" s="18" t="str">
        <f>IF(Z64&lt;50,"F",IF(Z64&lt;=54.99,"P",IF(Z64&lt;=59.99,"C",IF(Z64&lt;=64.99,"B",IF(Z64&lt;=69.99,"B+",IF(Z64&lt;=74.99,"A",IF(Z64&lt;=79.99,"A+","O")))))))</f>
        <v>A</v>
      </c>
      <c r="AB64" s="18" t="str">
        <f>IF(Z64&lt;50,"0",IF(Z64&lt;=54.99,"4",IF(Z64&lt;=59.99,"5",IF(Z64&lt;=64.99,"6",IF(Z64&lt;=69.99,"7",IF(Z64&lt;=74.99,"8",IF(Z64&lt;=79.99,"9","10")))))))</f>
        <v>8</v>
      </c>
      <c r="AC64" s="28">
        <v>4</v>
      </c>
      <c r="AD64" s="29">
        <f>AB64*AC64</f>
        <v>32</v>
      </c>
      <c r="AE64" s="22">
        <f>'[7]5th Subject'!$C80</f>
        <v>30</v>
      </c>
      <c r="AF64" s="23">
        <f>'[7]5th Subject'!$D80</f>
        <v>40</v>
      </c>
      <c r="AG64" s="27">
        <f>AF64+AE64</f>
        <v>70</v>
      </c>
      <c r="AH64" s="18" t="str">
        <f>IF(AG64&lt;50,"F",IF(AG64&lt;=54.99,"P",IF(AG64&lt;=59.99,"C",IF(AG64&lt;=64.99,"B",IF(AG64&lt;=69.99,"B+",IF(AG64&lt;=74.99,"A",IF(AG64&lt;=79.99,"A+","O")))))))</f>
        <v>A</v>
      </c>
      <c r="AI64" s="18" t="str">
        <f>IF(AG64&lt;50,"0",IF(AG64&lt;=54.99,"4",IF(AG64&lt;=59.99,"5",IF(AG64&lt;=64.99,"6",IF(AG64&lt;=69.99,"7",IF(AG64&lt;=74.99,"8",IF(AG64&lt;=79.99,"9","10")))))))</f>
        <v>8</v>
      </c>
      <c r="AJ64" s="28">
        <v>4</v>
      </c>
      <c r="AK64" s="29">
        <f>AI64*AJ64</f>
        <v>32</v>
      </c>
      <c r="AL64" s="22">
        <f>'[8]6th Subject'!$C80</f>
        <v>30</v>
      </c>
      <c r="AM64" s="22">
        <f>'[8]6th Subject'!$D80</f>
        <v>40</v>
      </c>
      <c r="AN64" s="27">
        <f>AM64+AL64</f>
        <v>70</v>
      </c>
      <c r="AO64" s="18" t="str">
        <f>IF(AN64&lt;50,"F",IF(AN64&lt;=54.99,"P",IF(AN64&lt;=59.99,"C",IF(AN64&lt;=64.99,"B",IF(AN64&lt;=69.99,"B+",IF(AN64&lt;=74.99,"A",IF(AN64&lt;=79.99,"A+","O")))))))</f>
        <v>A</v>
      </c>
      <c r="AP64" s="18" t="str">
        <f>IF(AN64&lt;50,"0",IF(AN64&lt;=54.99,"4",IF(AN64&lt;=59.99,"5",IF(AN64&lt;=64.99,"6",IF(AN64&lt;=69.99,"7",IF(AN64&lt;=74.99,"8",IF(AN64&lt;=79.99,"9","10")))))))</f>
        <v>8</v>
      </c>
      <c r="AQ64" s="28">
        <v>4</v>
      </c>
      <c r="AR64" s="29">
        <f>AP64*AQ64</f>
        <v>32</v>
      </c>
      <c r="AS64" s="16">
        <f>'[9]7th Subject'!$C80</f>
        <v>30</v>
      </c>
      <c r="AT64" s="16">
        <f>'[9]7th Subject'!$D80</f>
        <v>40</v>
      </c>
      <c r="AU64" s="27">
        <f>AT64+AS64</f>
        <v>70</v>
      </c>
      <c r="AV64" s="18" t="str">
        <f>IF(AU64&lt;50,"F",IF(AU64&lt;=54.99,"P",IF(AU64&lt;=59.99,"C",IF(AU64&lt;=64.99,"B",IF(AU64&lt;=69.99,"B+",IF(AU64&lt;=74.99,"A",IF(AU64&lt;=79.99,"A+","O")))))))</f>
        <v>A</v>
      </c>
      <c r="AW64" s="18" t="str">
        <f>IF(AU64&lt;50,"0",IF(AU64&lt;=54.99,"4",IF(AU64&lt;=59.99,"5",IF(AU64&lt;=64.99,"6",IF(AU64&lt;=69.99,"7",IF(AU64&lt;=74.99,"8",IF(AU64&lt;=79.99,"9","10")))))))</f>
        <v>8</v>
      </c>
      <c r="AX64" s="28">
        <v>4</v>
      </c>
      <c r="AY64" s="29">
        <f>AW64*AX64</f>
        <v>32</v>
      </c>
      <c r="AZ64" s="22">
        <f>'[10]8th Subject'!$C80</f>
        <v>30</v>
      </c>
      <c r="BA64" s="22">
        <f>'[10]8th Subject'!$D80</f>
        <v>40</v>
      </c>
      <c r="BB64" s="27">
        <f>BA64+AZ64</f>
        <v>70</v>
      </c>
      <c r="BC64" s="18" t="str">
        <f>IF(BB64&lt;50,"F",IF(BB64&lt;=54.99,"P",IF(BB64&lt;=59.99,"C",IF(BB64&lt;=64.99,"B",IF(BB64&lt;=69.99,"B+",IF(BB64&lt;=74.99,"A",IF(BB64&lt;=79.99,"A+","O")))))))</f>
        <v>A</v>
      </c>
      <c r="BD64" s="18" t="str">
        <f>IF(BB64&lt;50,"0",IF(BB64&lt;=54.99,"4",IF(BB64&lt;=59.99,"5",IF(BB64&lt;=64.99,"6",IF(BB64&lt;=69.99,"7",IF(BB64&lt;=74.99,"8",IF(BB64&lt;=79.99,"9","10")))))))</f>
        <v>8</v>
      </c>
      <c r="BE64" s="28">
        <v>4</v>
      </c>
      <c r="BF64" s="29">
        <f>BD64*BE64</f>
        <v>32</v>
      </c>
      <c r="BG64" s="27">
        <f>AZ64+AS64+AE64+X64+J64+C64+Q64+AL64</f>
        <v>240</v>
      </c>
      <c r="BH64" s="27">
        <f>BA64+AT64+AF64+Y64+K64+D64+R64+AM64</f>
        <v>320</v>
      </c>
      <c r="BI64" s="27">
        <f>BH64+BG64</f>
        <v>560</v>
      </c>
      <c r="BJ64" s="30">
        <f>G64+N64+U64+AB64+AI64+AP64+BD64+AW64</f>
        <v>64</v>
      </c>
      <c r="BK64" s="30">
        <f>I64+P64+W64+AD64+AK64+AY64+BF64+AR64</f>
        <v>256</v>
      </c>
      <c r="BL64" s="25">
        <f>(BN64-0.75)*10</f>
        <v>72.5</v>
      </c>
      <c r="BM64" s="17" t="str">
        <f>IF(OR(C64&lt;20,D64&lt;30,J64&lt;20,K64&lt;30,Q64&lt;20,R64&lt;30,X64&lt;20,Y64&lt;30,AE64&lt;20,AF64&lt;30,AL64&lt;20,AM64&lt;30,AS64&lt;20,AT64&lt;30,AZ64&lt;20,BA64&lt;30),"Unsuccessful","Successful")</f>
        <v>Successful</v>
      </c>
      <c r="BN64" s="31">
        <f>BK64/32</f>
        <v>8</v>
      </c>
      <c r="BO64" s="18" t="str">
        <f>IF(BN64&lt;=4,"F",IF(BN64&lt;=4.5,"P",IF(BN64&lt;=5.5,"C",IF(BN64&lt;=6.5,"B",IF(BN64&lt;=7.5,"B+",IF(BN64&lt;=8.5,"A",IF(BN64&lt;=9.5,"A+","O")))))))</f>
        <v>A</v>
      </c>
      <c r="BP64" s="14" t="str">
        <f>IF(BN64&lt;=4,"50",IF(BN64&lt;=4.5,"50-54.99",IF(BN64&lt;=5.5,"55-59.99",IF(BN64&lt;=6.5,"60-64.99",IF(BN64&lt;=7.5,"65-69.99",IF(BN64&lt;=8.5,"70-74.99",IF(BN64&lt;=9.5,"75-79.99","10")))))))</f>
        <v>70-74.99</v>
      </c>
      <c r="BS64">
        <f>RANK(BN64,$BN$3:$BN$135)</f>
        <v>24</v>
      </c>
    </row>
    <row r="65" spans="1:71" x14ac:dyDescent="0.25">
      <c r="A65" s="14" t="str">
        <f>[2]Sheet1!$A90</f>
        <v>MMS18-20/089</v>
      </c>
      <c r="B65" s="15" t="str">
        <f>[2]Sheet1!$B90</f>
        <v>SANGLE SINDHANT NAVANATH PRATIBHA</v>
      </c>
      <c r="C65" s="16">
        <f>'[3]1st Subject'!$C91</f>
        <v>30</v>
      </c>
      <c r="D65" s="16">
        <f>'[3]1st Subject'!$D91</f>
        <v>40</v>
      </c>
      <c r="E65" s="27">
        <f>D65+C65</f>
        <v>70</v>
      </c>
      <c r="F65" s="18" t="str">
        <f>IF(E65&lt;50,"F",IF(E65&lt;=54.99,"P",IF(E65&lt;=59.99,"C",IF(E65&lt;=64.99,"B",IF(E65&lt;=69.99,"B+",IF(E65&lt;=74.99,"A",IF(E65&lt;=79.99,"A+","O")))))))</f>
        <v>A</v>
      </c>
      <c r="G65" s="18" t="str">
        <f>IF(E65&lt;50,"0",IF(E65&lt;=54.99,"4",IF(E65&lt;=59.99,"5",IF(E65&lt;=64.99,"6",IF(E65&lt;=69.99,"7",IF(E65&lt;=74.99,"8",IF(E65&lt;=79.99,"9","10")))))))</f>
        <v>8</v>
      </c>
      <c r="H65" s="28">
        <v>4</v>
      </c>
      <c r="I65" s="29">
        <f>G65*H65</f>
        <v>32</v>
      </c>
      <c r="J65" s="16">
        <f>'[4]2nd Subject'!$C91</f>
        <v>30</v>
      </c>
      <c r="K65" s="16">
        <f>'[4]2nd Subject'!$D91</f>
        <v>40</v>
      </c>
      <c r="L65" s="27">
        <f>K65+J65</f>
        <v>70</v>
      </c>
      <c r="M65" s="18" t="str">
        <f>IF(L65&lt;50,"F",IF(L65&lt;=54.99,"P",IF(L65&lt;=59.99,"C",IF(L65&lt;=64.99,"B",IF(L65&lt;=69.99,"B+",IF(L65&lt;=74.99,"A",IF(L65&lt;=79.99,"A+","O")))))))</f>
        <v>A</v>
      </c>
      <c r="N65" s="18" t="str">
        <f>IF(L65&lt;50,"0",IF(L65&lt;=54.99,"4",IF(L65&lt;=59.99,"5",IF(L65&lt;=64.99,"6",IF(L65&lt;=69.99,"7",IF(L65&lt;=74.99,"8",IF(L65&lt;=79.99,"9","10")))))))</f>
        <v>8</v>
      </c>
      <c r="O65" s="28">
        <v>4</v>
      </c>
      <c r="P65" s="29">
        <f>N65*O65</f>
        <v>32</v>
      </c>
      <c r="Q65" s="21">
        <f>'[5]3rd Subject'!$C91</f>
        <v>30</v>
      </c>
      <c r="R65" s="21">
        <f>'[5]3rd Subject'!$D91</f>
        <v>40</v>
      </c>
      <c r="S65" s="27">
        <f>R65+Q65</f>
        <v>70</v>
      </c>
      <c r="T65" s="18" t="str">
        <f>IF(S65&lt;50,"F",IF(S65&lt;=54.99,"P",IF(S65&lt;=59.99,"C",IF(S65&lt;=64.99,"B",IF(S65&lt;=69.99,"B+",IF(S65&lt;=74.99,"A",IF(S65&lt;=79.99,"A+","O")))))))</f>
        <v>A</v>
      </c>
      <c r="U65" s="18" t="str">
        <f>IF(S65&lt;50,"0",IF(S65&lt;=54.99,"4",IF(S65&lt;=59.99,"5",IF(S65&lt;=64.99,"6",IF(S65&lt;=69.99,"7",IF(S65&lt;=74.99,"8",IF(S65&lt;=79.99,"9","10")))))))</f>
        <v>8</v>
      </c>
      <c r="V65" s="28">
        <v>4</v>
      </c>
      <c r="W65" s="29">
        <f>U65*V65</f>
        <v>32</v>
      </c>
      <c r="X65" s="22">
        <f>'[6]4th Subject'!$C91</f>
        <v>30</v>
      </c>
      <c r="Y65" s="23">
        <f>'[6]4th Subject'!$D91</f>
        <v>40</v>
      </c>
      <c r="Z65" s="27">
        <f>Y65+X65</f>
        <v>70</v>
      </c>
      <c r="AA65" s="18" t="str">
        <f>IF(Z65&lt;50,"F",IF(Z65&lt;=54.99,"P",IF(Z65&lt;=59.99,"C",IF(Z65&lt;=64.99,"B",IF(Z65&lt;=69.99,"B+",IF(Z65&lt;=74.99,"A",IF(Z65&lt;=79.99,"A+","O")))))))</f>
        <v>A</v>
      </c>
      <c r="AB65" s="18" t="str">
        <f>IF(Z65&lt;50,"0",IF(Z65&lt;=54.99,"4",IF(Z65&lt;=59.99,"5",IF(Z65&lt;=64.99,"6",IF(Z65&lt;=69.99,"7",IF(Z65&lt;=74.99,"8",IF(Z65&lt;=79.99,"9","10")))))))</f>
        <v>8</v>
      </c>
      <c r="AC65" s="28">
        <v>4</v>
      </c>
      <c r="AD65" s="29">
        <f>AB65*AC65</f>
        <v>32</v>
      </c>
      <c r="AE65" s="22">
        <f>'[7]5th Subject'!$C91</f>
        <v>30</v>
      </c>
      <c r="AF65" s="23">
        <f>'[7]5th Subject'!$D91</f>
        <v>40</v>
      </c>
      <c r="AG65" s="27">
        <f>AF65+AE65</f>
        <v>70</v>
      </c>
      <c r="AH65" s="18" t="str">
        <f>IF(AG65&lt;50,"F",IF(AG65&lt;=54.99,"P",IF(AG65&lt;=59.99,"C",IF(AG65&lt;=64.99,"B",IF(AG65&lt;=69.99,"B+",IF(AG65&lt;=74.99,"A",IF(AG65&lt;=79.99,"A+","O")))))))</f>
        <v>A</v>
      </c>
      <c r="AI65" s="18" t="str">
        <f>IF(AG65&lt;50,"0",IF(AG65&lt;=54.99,"4",IF(AG65&lt;=59.99,"5",IF(AG65&lt;=64.99,"6",IF(AG65&lt;=69.99,"7",IF(AG65&lt;=74.99,"8",IF(AG65&lt;=79.99,"9","10")))))))</f>
        <v>8</v>
      </c>
      <c r="AJ65" s="28">
        <v>4</v>
      </c>
      <c r="AK65" s="29">
        <f>AI65*AJ65</f>
        <v>32</v>
      </c>
      <c r="AL65" s="22">
        <f>'[8]6th Subject'!$C91</f>
        <v>30</v>
      </c>
      <c r="AM65" s="22">
        <f>'[8]6th Subject'!$D91</f>
        <v>40</v>
      </c>
      <c r="AN65" s="27">
        <f>AM65+AL65</f>
        <v>70</v>
      </c>
      <c r="AO65" s="18" t="str">
        <f>IF(AN65&lt;50,"F",IF(AN65&lt;=54.99,"P",IF(AN65&lt;=59.99,"C",IF(AN65&lt;=64.99,"B",IF(AN65&lt;=69.99,"B+",IF(AN65&lt;=74.99,"A",IF(AN65&lt;=79.99,"A+","O")))))))</f>
        <v>A</v>
      </c>
      <c r="AP65" s="18" t="str">
        <f>IF(AN65&lt;50,"0",IF(AN65&lt;=54.99,"4",IF(AN65&lt;=59.99,"5",IF(AN65&lt;=64.99,"6",IF(AN65&lt;=69.99,"7",IF(AN65&lt;=74.99,"8",IF(AN65&lt;=79.99,"9","10")))))))</f>
        <v>8</v>
      </c>
      <c r="AQ65" s="28">
        <v>4</v>
      </c>
      <c r="AR65" s="29">
        <f>AP65*AQ65</f>
        <v>32</v>
      </c>
      <c r="AS65" s="16">
        <f>'[9]7th Subject'!$C91</f>
        <v>30</v>
      </c>
      <c r="AT65" s="16">
        <f>'[9]7th Subject'!$D91</f>
        <v>40</v>
      </c>
      <c r="AU65" s="27">
        <f>AT65+AS65</f>
        <v>70</v>
      </c>
      <c r="AV65" s="18" t="str">
        <f>IF(AU65&lt;50,"F",IF(AU65&lt;=54.99,"P",IF(AU65&lt;=59.99,"C",IF(AU65&lt;=64.99,"B",IF(AU65&lt;=69.99,"B+",IF(AU65&lt;=74.99,"A",IF(AU65&lt;=79.99,"A+","O")))))))</f>
        <v>A</v>
      </c>
      <c r="AW65" s="18" t="str">
        <f>IF(AU65&lt;50,"0",IF(AU65&lt;=54.99,"4",IF(AU65&lt;=59.99,"5",IF(AU65&lt;=64.99,"6",IF(AU65&lt;=69.99,"7",IF(AU65&lt;=74.99,"8",IF(AU65&lt;=79.99,"9","10")))))))</f>
        <v>8</v>
      </c>
      <c r="AX65" s="28">
        <v>4</v>
      </c>
      <c r="AY65" s="29">
        <f>AW65*AX65</f>
        <v>32</v>
      </c>
      <c r="AZ65" s="22">
        <f>'[10]8th Subject'!$C91</f>
        <v>30</v>
      </c>
      <c r="BA65" s="22">
        <f>'[10]8th Subject'!$D91</f>
        <v>40</v>
      </c>
      <c r="BB65" s="27">
        <f>BA65+AZ65</f>
        <v>70</v>
      </c>
      <c r="BC65" s="18" t="str">
        <f>IF(BB65&lt;50,"F",IF(BB65&lt;=54.99,"P",IF(BB65&lt;=59.99,"C",IF(BB65&lt;=64.99,"B",IF(BB65&lt;=69.99,"B+",IF(BB65&lt;=74.99,"A",IF(BB65&lt;=79.99,"A+","O")))))))</f>
        <v>A</v>
      </c>
      <c r="BD65" s="18" t="str">
        <f>IF(BB65&lt;50,"0",IF(BB65&lt;=54.99,"4",IF(BB65&lt;=59.99,"5",IF(BB65&lt;=64.99,"6",IF(BB65&lt;=69.99,"7",IF(BB65&lt;=74.99,"8",IF(BB65&lt;=79.99,"9","10")))))))</f>
        <v>8</v>
      </c>
      <c r="BE65" s="28">
        <v>4</v>
      </c>
      <c r="BF65" s="29">
        <f>BD65*BE65</f>
        <v>32</v>
      </c>
      <c r="BG65" s="27">
        <f>AZ65+AS65+AE65+X65+J65+C65+Q65+AL65</f>
        <v>240</v>
      </c>
      <c r="BH65" s="27">
        <f>BA65+AT65+AF65+Y65+K65+D65+R65+AM65</f>
        <v>320</v>
      </c>
      <c r="BI65" s="27">
        <f>BH65+BG65</f>
        <v>560</v>
      </c>
      <c r="BJ65" s="30">
        <f>G65+N65+U65+AB65+AI65+AP65+BD65+AW65</f>
        <v>64</v>
      </c>
      <c r="BK65" s="30">
        <f>I65+P65+W65+AD65+AK65+AY65+BF65+AR65</f>
        <v>256</v>
      </c>
      <c r="BL65" s="25">
        <f>(BN65-0.75)*10</f>
        <v>72.5</v>
      </c>
      <c r="BM65" s="17" t="str">
        <f>IF(OR(C65&lt;20,D65&lt;30,J65&lt;20,K65&lt;30,Q65&lt;20,R65&lt;30,X65&lt;20,Y65&lt;30,AE65&lt;20,AF65&lt;30,AL65&lt;20,AM65&lt;30,AS65&lt;20,AT65&lt;30,AZ65&lt;20,BA65&lt;30),"Unsuccessful","Successful")</f>
        <v>Successful</v>
      </c>
      <c r="BN65" s="31">
        <f>BK65/32</f>
        <v>8</v>
      </c>
      <c r="BO65" s="18" t="str">
        <f>IF(BN65&lt;=4,"F",IF(BN65&lt;=4.5,"P",IF(BN65&lt;=5.5,"C",IF(BN65&lt;=6.5,"B",IF(BN65&lt;=7.5,"B+",IF(BN65&lt;=8.5,"A",IF(BN65&lt;=9.5,"A+","O")))))))</f>
        <v>A</v>
      </c>
      <c r="BP65" s="14" t="str">
        <f>IF(BN65&lt;=4,"50",IF(BN65&lt;=4.5,"50-54.99",IF(BN65&lt;=5.5,"55-59.99",IF(BN65&lt;=6.5,"60-64.99",IF(BN65&lt;=7.5,"65-69.99",IF(BN65&lt;=8.5,"70-74.99",IF(BN65&lt;=9.5,"75-79.99","10")))))))</f>
        <v>70-74.99</v>
      </c>
      <c r="BS65">
        <f>RANK(BN65,$BN$3:$BN$135)</f>
        <v>24</v>
      </c>
    </row>
    <row r="66" spans="1:71" x14ac:dyDescent="0.25">
      <c r="A66" s="14" t="str">
        <f>[2]Sheet1!$A101</f>
        <v>MMS18-20/100</v>
      </c>
      <c r="B66" s="15" t="str">
        <f>[2]Sheet1!$B101</f>
        <v>SHITYALKAR SHUBHAM DHONDIBA SHALAN</v>
      </c>
      <c r="C66" s="16">
        <f>'[3]1st Subject'!$C102</f>
        <v>30</v>
      </c>
      <c r="D66" s="16">
        <f>'[3]1st Subject'!$D102</f>
        <v>40</v>
      </c>
      <c r="E66" s="27">
        <f>D66+C66</f>
        <v>70</v>
      </c>
      <c r="F66" s="18" t="str">
        <f>IF(E66&lt;50,"F",IF(E66&lt;=54.99,"P",IF(E66&lt;=59.99,"C",IF(E66&lt;=64.99,"B",IF(E66&lt;=69.99,"B+",IF(E66&lt;=74.99,"A",IF(E66&lt;=79.99,"A+","O")))))))</f>
        <v>A</v>
      </c>
      <c r="G66" s="18" t="str">
        <f>IF(E66&lt;50,"0",IF(E66&lt;=54.99,"4",IF(E66&lt;=59.99,"5",IF(E66&lt;=64.99,"6",IF(E66&lt;=69.99,"7",IF(E66&lt;=74.99,"8",IF(E66&lt;=79.99,"9","10")))))))</f>
        <v>8</v>
      </c>
      <c r="H66" s="28">
        <v>4</v>
      </c>
      <c r="I66" s="29">
        <f>G66*H66</f>
        <v>32</v>
      </c>
      <c r="J66" s="16">
        <f>'[4]2nd Subject'!$C102</f>
        <v>30</v>
      </c>
      <c r="K66" s="16">
        <f>'[4]2nd Subject'!$D102</f>
        <v>40</v>
      </c>
      <c r="L66" s="27">
        <f>K66+J66</f>
        <v>70</v>
      </c>
      <c r="M66" s="18" t="str">
        <f>IF(L66&lt;50,"F",IF(L66&lt;=54.99,"P",IF(L66&lt;=59.99,"C",IF(L66&lt;=64.99,"B",IF(L66&lt;=69.99,"B+",IF(L66&lt;=74.99,"A",IF(L66&lt;=79.99,"A+","O")))))))</f>
        <v>A</v>
      </c>
      <c r="N66" s="18" t="str">
        <f>IF(L66&lt;50,"0",IF(L66&lt;=54.99,"4",IF(L66&lt;=59.99,"5",IF(L66&lt;=64.99,"6",IF(L66&lt;=69.99,"7",IF(L66&lt;=74.99,"8",IF(L66&lt;=79.99,"9","10")))))))</f>
        <v>8</v>
      </c>
      <c r="O66" s="28">
        <v>4</v>
      </c>
      <c r="P66" s="29">
        <f>N66*O66</f>
        <v>32</v>
      </c>
      <c r="Q66" s="21">
        <f>'[5]3rd Subject'!$C102</f>
        <v>30</v>
      </c>
      <c r="R66" s="21">
        <f>'[5]3rd Subject'!$D102</f>
        <v>40</v>
      </c>
      <c r="S66" s="27">
        <f>R66+Q66</f>
        <v>70</v>
      </c>
      <c r="T66" s="18" t="str">
        <f>IF(S66&lt;50,"F",IF(S66&lt;=54.99,"P",IF(S66&lt;=59.99,"C",IF(S66&lt;=64.99,"B",IF(S66&lt;=69.99,"B+",IF(S66&lt;=74.99,"A",IF(S66&lt;=79.99,"A+","O")))))))</f>
        <v>A</v>
      </c>
      <c r="U66" s="18" t="str">
        <f>IF(S66&lt;50,"0",IF(S66&lt;=54.99,"4",IF(S66&lt;=59.99,"5",IF(S66&lt;=64.99,"6",IF(S66&lt;=69.99,"7",IF(S66&lt;=74.99,"8",IF(S66&lt;=79.99,"9","10")))))))</f>
        <v>8</v>
      </c>
      <c r="V66" s="28">
        <v>4</v>
      </c>
      <c r="W66" s="29">
        <f>U66*V66</f>
        <v>32</v>
      </c>
      <c r="X66" s="22">
        <f>'[6]4th Subject'!$C102</f>
        <v>30</v>
      </c>
      <c r="Y66" s="23">
        <f>'[6]4th Subject'!$D102</f>
        <v>40</v>
      </c>
      <c r="Z66" s="27">
        <f>Y66+X66</f>
        <v>70</v>
      </c>
      <c r="AA66" s="18" t="str">
        <f>IF(Z66&lt;50,"F",IF(Z66&lt;=54.99,"P",IF(Z66&lt;=59.99,"C",IF(Z66&lt;=64.99,"B",IF(Z66&lt;=69.99,"B+",IF(Z66&lt;=74.99,"A",IF(Z66&lt;=79.99,"A+","O")))))))</f>
        <v>A</v>
      </c>
      <c r="AB66" s="18" t="str">
        <f>IF(Z66&lt;50,"0",IF(Z66&lt;=54.99,"4",IF(Z66&lt;=59.99,"5",IF(Z66&lt;=64.99,"6",IF(Z66&lt;=69.99,"7",IF(Z66&lt;=74.99,"8",IF(Z66&lt;=79.99,"9","10")))))))</f>
        <v>8</v>
      </c>
      <c r="AC66" s="28">
        <v>4</v>
      </c>
      <c r="AD66" s="29">
        <f>AB66*AC66</f>
        <v>32</v>
      </c>
      <c r="AE66" s="22">
        <f>'[7]5th Subject'!$C102</f>
        <v>30</v>
      </c>
      <c r="AF66" s="23">
        <f>'[7]5th Subject'!$D102</f>
        <v>40</v>
      </c>
      <c r="AG66" s="27">
        <f>AF66+AE66</f>
        <v>70</v>
      </c>
      <c r="AH66" s="18" t="str">
        <f>IF(AG66&lt;50,"F",IF(AG66&lt;=54.99,"P",IF(AG66&lt;=59.99,"C",IF(AG66&lt;=64.99,"B",IF(AG66&lt;=69.99,"B+",IF(AG66&lt;=74.99,"A",IF(AG66&lt;=79.99,"A+","O")))))))</f>
        <v>A</v>
      </c>
      <c r="AI66" s="18" t="str">
        <f>IF(AG66&lt;50,"0",IF(AG66&lt;=54.99,"4",IF(AG66&lt;=59.99,"5",IF(AG66&lt;=64.99,"6",IF(AG66&lt;=69.99,"7",IF(AG66&lt;=74.99,"8",IF(AG66&lt;=79.99,"9","10")))))))</f>
        <v>8</v>
      </c>
      <c r="AJ66" s="28">
        <v>4</v>
      </c>
      <c r="AK66" s="29">
        <f>AI66*AJ66</f>
        <v>32</v>
      </c>
      <c r="AL66" s="22">
        <f>'[8]6th Subject'!$C102</f>
        <v>30</v>
      </c>
      <c r="AM66" s="22">
        <f>'[8]6th Subject'!$D102</f>
        <v>40</v>
      </c>
      <c r="AN66" s="27">
        <f>AM66+AL66</f>
        <v>70</v>
      </c>
      <c r="AO66" s="18" t="str">
        <f>IF(AN66&lt;50,"F",IF(AN66&lt;=54.99,"P",IF(AN66&lt;=59.99,"C",IF(AN66&lt;=64.99,"B",IF(AN66&lt;=69.99,"B+",IF(AN66&lt;=74.99,"A",IF(AN66&lt;=79.99,"A+","O")))))))</f>
        <v>A</v>
      </c>
      <c r="AP66" s="18" t="str">
        <f>IF(AN66&lt;50,"0",IF(AN66&lt;=54.99,"4",IF(AN66&lt;=59.99,"5",IF(AN66&lt;=64.99,"6",IF(AN66&lt;=69.99,"7",IF(AN66&lt;=74.99,"8",IF(AN66&lt;=79.99,"9","10")))))))</f>
        <v>8</v>
      </c>
      <c r="AQ66" s="28">
        <v>4</v>
      </c>
      <c r="AR66" s="29">
        <f>AP66*AQ66</f>
        <v>32</v>
      </c>
      <c r="AS66" s="16">
        <f>'[9]7th Subject'!$C102</f>
        <v>30</v>
      </c>
      <c r="AT66" s="16">
        <f>'[9]7th Subject'!$D102</f>
        <v>40</v>
      </c>
      <c r="AU66" s="27">
        <f>AT66+AS66</f>
        <v>70</v>
      </c>
      <c r="AV66" s="18" t="str">
        <f>IF(AU66&lt;50,"F",IF(AU66&lt;=54.99,"P",IF(AU66&lt;=59.99,"C",IF(AU66&lt;=64.99,"B",IF(AU66&lt;=69.99,"B+",IF(AU66&lt;=74.99,"A",IF(AU66&lt;=79.99,"A+","O")))))))</f>
        <v>A</v>
      </c>
      <c r="AW66" s="18" t="str">
        <f>IF(AU66&lt;50,"0",IF(AU66&lt;=54.99,"4",IF(AU66&lt;=59.99,"5",IF(AU66&lt;=64.99,"6",IF(AU66&lt;=69.99,"7",IF(AU66&lt;=74.99,"8",IF(AU66&lt;=79.99,"9","10")))))))</f>
        <v>8</v>
      </c>
      <c r="AX66" s="28">
        <v>4</v>
      </c>
      <c r="AY66" s="29">
        <f>AW66*AX66</f>
        <v>32</v>
      </c>
      <c r="AZ66" s="22">
        <f>'[10]8th Subject'!$C102</f>
        <v>30</v>
      </c>
      <c r="BA66" s="22">
        <f>'[10]8th Subject'!$D102</f>
        <v>40</v>
      </c>
      <c r="BB66" s="27">
        <f>BA66+AZ66</f>
        <v>70</v>
      </c>
      <c r="BC66" s="18" t="str">
        <f>IF(BB66&lt;50,"F",IF(BB66&lt;=54.99,"P",IF(BB66&lt;=59.99,"C",IF(BB66&lt;=64.99,"B",IF(BB66&lt;=69.99,"B+",IF(BB66&lt;=74.99,"A",IF(BB66&lt;=79.99,"A+","O")))))))</f>
        <v>A</v>
      </c>
      <c r="BD66" s="18" t="str">
        <f>IF(BB66&lt;50,"0",IF(BB66&lt;=54.99,"4",IF(BB66&lt;=59.99,"5",IF(BB66&lt;=64.99,"6",IF(BB66&lt;=69.99,"7",IF(BB66&lt;=74.99,"8",IF(BB66&lt;=79.99,"9","10")))))))</f>
        <v>8</v>
      </c>
      <c r="BE66" s="28">
        <v>4</v>
      </c>
      <c r="BF66" s="29">
        <f>BD66*BE66</f>
        <v>32</v>
      </c>
      <c r="BG66" s="27">
        <f>AZ66+AS66+AE66+X66+J66+C66+Q66+AL66</f>
        <v>240</v>
      </c>
      <c r="BH66" s="27">
        <f>BA66+AT66+AF66+Y66+K66+D66+R66+AM66</f>
        <v>320</v>
      </c>
      <c r="BI66" s="27">
        <f>BH66+BG66</f>
        <v>560</v>
      </c>
      <c r="BJ66" s="30">
        <f>G66+N66+U66+AB66+AI66+AP66+BD66+AW66</f>
        <v>64</v>
      </c>
      <c r="BK66" s="30">
        <f>I66+P66+W66+AD66+AK66+AY66+BF66+AR66</f>
        <v>256</v>
      </c>
      <c r="BL66" s="25">
        <f>(BN66-0.75)*10</f>
        <v>72.5</v>
      </c>
      <c r="BM66" s="17" t="str">
        <f>IF(OR(C66&lt;20,D66&lt;30,J66&lt;20,K66&lt;30,Q66&lt;20,R66&lt;30,X66&lt;20,Y66&lt;30,AE66&lt;20,AF66&lt;30,AL66&lt;20,AM66&lt;30,AS66&lt;20,AT66&lt;30,AZ66&lt;20,BA66&lt;30),"Unsuccessful","Successful")</f>
        <v>Successful</v>
      </c>
      <c r="BN66" s="31">
        <f>BK66/32</f>
        <v>8</v>
      </c>
      <c r="BO66" s="18" t="str">
        <f>IF(BN66&lt;=4,"F",IF(BN66&lt;=4.5,"P",IF(BN66&lt;=5.5,"C",IF(BN66&lt;=6.5,"B",IF(BN66&lt;=7.5,"B+",IF(BN66&lt;=8.5,"A",IF(BN66&lt;=9.5,"A+","O")))))))</f>
        <v>A</v>
      </c>
      <c r="BP66" s="14" t="str">
        <f>IF(BN66&lt;=4,"50",IF(BN66&lt;=4.5,"50-54.99",IF(BN66&lt;=5.5,"55-59.99",IF(BN66&lt;=6.5,"60-64.99",IF(BN66&lt;=7.5,"65-69.99",IF(BN66&lt;=8.5,"70-74.99",IF(BN66&lt;=9.5,"75-79.99","10")))))))</f>
        <v>70-74.99</v>
      </c>
      <c r="BS66">
        <f>RANK(BN66,$BN$3:$BN$135)</f>
        <v>24</v>
      </c>
    </row>
    <row r="67" spans="1:71" x14ac:dyDescent="0.25">
      <c r="A67" s="14" t="str">
        <f>[2]Sheet1!$A112</f>
        <v>MMS18-20/111</v>
      </c>
      <c r="B67" s="15" t="str">
        <f>[2]Sheet1!$B112</f>
        <v>TIWARI VIKAS CHINTAMANI SHAILA</v>
      </c>
      <c r="C67" s="16">
        <f>'[3]1st Subject'!$C113</f>
        <v>30</v>
      </c>
      <c r="D67" s="16">
        <f>'[3]1st Subject'!$D113</f>
        <v>40</v>
      </c>
      <c r="E67" s="27">
        <f>D67+C67</f>
        <v>70</v>
      </c>
      <c r="F67" s="18" t="str">
        <f>IF(E67&lt;50,"F",IF(E67&lt;=54.99,"P",IF(E67&lt;=59.99,"C",IF(E67&lt;=64.99,"B",IF(E67&lt;=69.99,"B+",IF(E67&lt;=74.99,"A",IF(E67&lt;=79.99,"A+","O")))))))</f>
        <v>A</v>
      </c>
      <c r="G67" s="18" t="str">
        <f>IF(E67&lt;50,"0",IF(E67&lt;=54.99,"4",IF(E67&lt;=59.99,"5",IF(E67&lt;=64.99,"6",IF(E67&lt;=69.99,"7",IF(E67&lt;=74.99,"8",IF(E67&lt;=79.99,"9","10")))))))</f>
        <v>8</v>
      </c>
      <c r="H67" s="28">
        <v>4</v>
      </c>
      <c r="I67" s="29">
        <f>G67*H67</f>
        <v>32</v>
      </c>
      <c r="J67" s="16">
        <f>'[4]2nd Subject'!$C113</f>
        <v>30</v>
      </c>
      <c r="K67" s="16">
        <f>'[4]2nd Subject'!$D113</f>
        <v>40</v>
      </c>
      <c r="L67" s="27">
        <f>K67+J67</f>
        <v>70</v>
      </c>
      <c r="M67" s="18" t="str">
        <f>IF(L67&lt;50,"F",IF(L67&lt;=54.99,"P",IF(L67&lt;=59.99,"C",IF(L67&lt;=64.99,"B",IF(L67&lt;=69.99,"B+",IF(L67&lt;=74.99,"A",IF(L67&lt;=79.99,"A+","O")))))))</f>
        <v>A</v>
      </c>
      <c r="N67" s="18" t="str">
        <f>IF(L67&lt;50,"0",IF(L67&lt;=54.99,"4",IF(L67&lt;=59.99,"5",IF(L67&lt;=64.99,"6",IF(L67&lt;=69.99,"7",IF(L67&lt;=74.99,"8",IF(L67&lt;=79.99,"9","10")))))))</f>
        <v>8</v>
      </c>
      <c r="O67" s="28">
        <v>4</v>
      </c>
      <c r="P67" s="29">
        <f>N67*O67</f>
        <v>32</v>
      </c>
      <c r="Q67" s="21">
        <f>'[5]3rd Subject'!$C113</f>
        <v>30</v>
      </c>
      <c r="R67" s="21">
        <f>'[5]3rd Subject'!$D113</f>
        <v>40</v>
      </c>
      <c r="S67" s="27">
        <f>R67+Q67</f>
        <v>70</v>
      </c>
      <c r="T67" s="18" t="str">
        <f>IF(S67&lt;50,"F",IF(S67&lt;=54.99,"P",IF(S67&lt;=59.99,"C",IF(S67&lt;=64.99,"B",IF(S67&lt;=69.99,"B+",IF(S67&lt;=74.99,"A",IF(S67&lt;=79.99,"A+","O")))))))</f>
        <v>A</v>
      </c>
      <c r="U67" s="18" t="str">
        <f>IF(S67&lt;50,"0",IF(S67&lt;=54.99,"4",IF(S67&lt;=59.99,"5",IF(S67&lt;=64.99,"6",IF(S67&lt;=69.99,"7",IF(S67&lt;=74.99,"8",IF(S67&lt;=79.99,"9","10")))))))</f>
        <v>8</v>
      </c>
      <c r="V67" s="28">
        <v>4</v>
      </c>
      <c r="W67" s="29">
        <f>U67*V67</f>
        <v>32</v>
      </c>
      <c r="X67" s="22">
        <f>'[6]4th Subject'!$C113</f>
        <v>30</v>
      </c>
      <c r="Y67" s="23">
        <f>'[6]4th Subject'!$D113</f>
        <v>40</v>
      </c>
      <c r="Z67" s="27">
        <f>Y67+X67</f>
        <v>70</v>
      </c>
      <c r="AA67" s="18" t="str">
        <f>IF(Z67&lt;50,"F",IF(Z67&lt;=54.99,"P",IF(Z67&lt;=59.99,"C",IF(Z67&lt;=64.99,"B",IF(Z67&lt;=69.99,"B+",IF(Z67&lt;=74.99,"A",IF(Z67&lt;=79.99,"A+","O")))))))</f>
        <v>A</v>
      </c>
      <c r="AB67" s="18" t="str">
        <f>IF(Z67&lt;50,"0",IF(Z67&lt;=54.99,"4",IF(Z67&lt;=59.99,"5",IF(Z67&lt;=64.99,"6",IF(Z67&lt;=69.99,"7",IF(Z67&lt;=74.99,"8",IF(Z67&lt;=79.99,"9","10")))))))</f>
        <v>8</v>
      </c>
      <c r="AC67" s="28">
        <v>4</v>
      </c>
      <c r="AD67" s="29">
        <f>AB67*AC67</f>
        <v>32</v>
      </c>
      <c r="AE67" s="22">
        <f>'[7]5th Subject'!$C113</f>
        <v>30</v>
      </c>
      <c r="AF67" s="23">
        <f>'[7]5th Subject'!$D113</f>
        <v>40</v>
      </c>
      <c r="AG67" s="27">
        <f>AF67+AE67</f>
        <v>70</v>
      </c>
      <c r="AH67" s="18" t="str">
        <f>IF(AG67&lt;50,"F",IF(AG67&lt;=54.99,"P",IF(AG67&lt;=59.99,"C",IF(AG67&lt;=64.99,"B",IF(AG67&lt;=69.99,"B+",IF(AG67&lt;=74.99,"A",IF(AG67&lt;=79.99,"A+","O")))))))</f>
        <v>A</v>
      </c>
      <c r="AI67" s="18" t="str">
        <f>IF(AG67&lt;50,"0",IF(AG67&lt;=54.99,"4",IF(AG67&lt;=59.99,"5",IF(AG67&lt;=64.99,"6",IF(AG67&lt;=69.99,"7",IF(AG67&lt;=74.99,"8",IF(AG67&lt;=79.99,"9","10")))))))</f>
        <v>8</v>
      </c>
      <c r="AJ67" s="28">
        <v>4</v>
      </c>
      <c r="AK67" s="29">
        <f>AI67*AJ67</f>
        <v>32</v>
      </c>
      <c r="AL67" s="22">
        <f>'[8]6th Subject'!$C113</f>
        <v>30</v>
      </c>
      <c r="AM67" s="22">
        <f>'[8]6th Subject'!$D113</f>
        <v>40</v>
      </c>
      <c r="AN67" s="27">
        <f>AM67+AL67</f>
        <v>70</v>
      </c>
      <c r="AO67" s="18" t="str">
        <f>IF(AN67&lt;50,"F",IF(AN67&lt;=54.99,"P",IF(AN67&lt;=59.99,"C",IF(AN67&lt;=64.99,"B",IF(AN67&lt;=69.99,"B+",IF(AN67&lt;=74.99,"A",IF(AN67&lt;=79.99,"A+","O")))))))</f>
        <v>A</v>
      </c>
      <c r="AP67" s="18" t="str">
        <f>IF(AN67&lt;50,"0",IF(AN67&lt;=54.99,"4",IF(AN67&lt;=59.99,"5",IF(AN67&lt;=64.99,"6",IF(AN67&lt;=69.99,"7",IF(AN67&lt;=74.99,"8",IF(AN67&lt;=79.99,"9","10")))))))</f>
        <v>8</v>
      </c>
      <c r="AQ67" s="28">
        <v>4</v>
      </c>
      <c r="AR67" s="29">
        <f>AP67*AQ67</f>
        <v>32</v>
      </c>
      <c r="AS67" s="16">
        <f>'[9]7th Subject'!$C113</f>
        <v>30</v>
      </c>
      <c r="AT67" s="16">
        <f>'[9]7th Subject'!$D113</f>
        <v>40</v>
      </c>
      <c r="AU67" s="27">
        <f>AT67+AS67</f>
        <v>70</v>
      </c>
      <c r="AV67" s="18" t="str">
        <f>IF(AU67&lt;50,"F",IF(AU67&lt;=54.99,"P",IF(AU67&lt;=59.99,"C",IF(AU67&lt;=64.99,"B",IF(AU67&lt;=69.99,"B+",IF(AU67&lt;=74.99,"A",IF(AU67&lt;=79.99,"A+","O")))))))</f>
        <v>A</v>
      </c>
      <c r="AW67" s="18" t="str">
        <f>IF(AU67&lt;50,"0",IF(AU67&lt;=54.99,"4",IF(AU67&lt;=59.99,"5",IF(AU67&lt;=64.99,"6",IF(AU67&lt;=69.99,"7",IF(AU67&lt;=74.99,"8",IF(AU67&lt;=79.99,"9","10")))))))</f>
        <v>8</v>
      </c>
      <c r="AX67" s="28">
        <v>4</v>
      </c>
      <c r="AY67" s="29">
        <f>AW67*AX67</f>
        <v>32</v>
      </c>
      <c r="AZ67" s="22">
        <f>'[10]8th Subject'!$C113</f>
        <v>30</v>
      </c>
      <c r="BA67" s="22">
        <f>'[10]8th Subject'!$D113</f>
        <v>40</v>
      </c>
      <c r="BB67" s="27">
        <f>BA67+AZ67</f>
        <v>70</v>
      </c>
      <c r="BC67" s="18" t="str">
        <f>IF(BB67&lt;50,"F",IF(BB67&lt;=54.99,"P",IF(BB67&lt;=59.99,"C",IF(BB67&lt;=64.99,"B",IF(BB67&lt;=69.99,"B+",IF(BB67&lt;=74.99,"A",IF(BB67&lt;=79.99,"A+","O")))))))</f>
        <v>A</v>
      </c>
      <c r="BD67" s="18" t="str">
        <f>IF(BB67&lt;50,"0",IF(BB67&lt;=54.99,"4",IF(BB67&lt;=59.99,"5",IF(BB67&lt;=64.99,"6",IF(BB67&lt;=69.99,"7",IF(BB67&lt;=74.99,"8",IF(BB67&lt;=79.99,"9","10")))))))</f>
        <v>8</v>
      </c>
      <c r="BE67" s="28">
        <v>4</v>
      </c>
      <c r="BF67" s="29">
        <f>BD67*BE67</f>
        <v>32</v>
      </c>
      <c r="BG67" s="27">
        <f>AZ67+AS67+AE67+X67+J67+C67+Q67+AL67</f>
        <v>240</v>
      </c>
      <c r="BH67" s="27">
        <f>BA67+AT67+AF67+Y67+K67+D67+R67+AM67</f>
        <v>320</v>
      </c>
      <c r="BI67" s="27">
        <f>BH67+BG67</f>
        <v>560</v>
      </c>
      <c r="BJ67" s="30">
        <f>G67+N67+U67+AB67+AI67+AP67+BD67+AW67</f>
        <v>64</v>
      </c>
      <c r="BK67" s="30">
        <f>I67+P67+W67+AD67+AK67+AY67+BF67+AR67</f>
        <v>256</v>
      </c>
      <c r="BL67" s="25">
        <f>(BN67-0.75)*10</f>
        <v>72.5</v>
      </c>
      <c r="BM67" s="17" t="str">
        <f>IF(OR(C67&lt;20,D67&lt;30,J67&lt;20,K67&lt;30,Q67&lt;20,R67&lt;30,X67&lt;20,Y67&lt;30,AE67&lt;20,AF67&lt;30,AL67&lt;20,AM67&lt;30,AS67&lt;20,AT67&lt;30,AZ67&lt;20,BA67&lt;30),"Unsuccessful","Successful")</f>
        <v>Successful</v>
      </c>
      <c r="BN67" s="31">
        <f>BK67/32</f>
        <v>8</v>
      </c>
      <c r="BO67" s="18" t="str">
        <f>IF(BN67&lt;=4,"F",IF(BN67&lt;=4.5,"P",IF(BN67&lt;=5.5,"C",IF(BN67&lt;=6.5,"B",IF(BN67&lt;=7.5,"B+",IF(BN67&lt;=8.5,"A",IF(BN67&lt;=9.5,"A+","O")))))))</f>
        <v>A</v>
      </c>
      <c r="BP67" s="14" t="str">
        <f>IF(BN67&lt;=4,"50",IF(BN67&lt;=4.5,"50-54.99",IF(BN67&lt;=5.5,"55-59.99",IF(BN67&lt;=6.5,"60-64.99",IF(BN67&lt;=7.5,"65-69.99",IF(BN67&lt;=8.5,"70-74.99",IF(BN67&lt;=9.5,"75-79.99","10")))))))</f>
        <v>70-74.99</v>
      </c>
      <c r="BS67">
        <f>RANK(BN67,$BN$3:$BN$135)</f>
        <v>24</v>
      </c>
    </row>
    <row r="68" spans="1:71" x14ac:dyDescent="0.25">
      <c r="A68" s="14" t="str">
        <f>[2]Sheet1!$A4</f>
        <v>MMS18-20/003</v>
      </c>
      <c r="B68" s="15" t="str">
        <f>[2]Sheet1!$B4</f>
        <v>AMBALLA VISHAL MANOHAR BHARATHI</v>
      </c>
      <c r="C68" s="16">
        <f>'[3]1st Subject'!$C5</f>
        <v>32</v>
      </c>
      <c r="D68" s="16">
        <f>'[3]1st Subject'!$D5</f>
        <v>20</v>
      </c>
      <c r="E68" s="27">
        <f>D68+C68</f>
        <v>52</v>
      </c>
      <c r="F68" s="18" t="str">
        <f>IF(E68&lt;50,"F",IF(E68&lt;=54.99,"P",IF(E68&lt;=59.99,"C",IF(E68&lt;=64.99,"B",IF(E68&lt;=69.99,"B+",IF(E68&lt;=74.99,"A",IF(E68&lt;=79.99,"A+","O")))))))</f>
        <v>P</v>
      </c>
      <c r="G68" s="18" t="str">
        <f>IF(E68&lt;50,"0",IF(E68&lt;=54.99,"4",IF(E68&lt;=59.99,"5",IF(E68&lt;=64.99,"6",IF(E68&lt;=69.99,"7",IF(E68&lt;=74.99,"8",IF(E68&lt;=79.99,"9","10")))))))</f>
        <v>4</v>
      </c>
      <c r="H68" s="28">
        <v>4</v>
      </c>
      <c r="I68" s="29">
        <f>G68*H68</f>
        <v>16</v>
      </c>
      <c r="J68" s="16">
        <f>'[4]2nd Subject'!$C5</f>
        <v>32</v>
      </c>
      <c r="K68" s="16">
        <f>'[4]2nd Subject'!$D5</f>
        <v>42</v>
      </c>
      <c r="L68" s="27">
        <f>K68+J68</f>
        <v>74</v>
      </c>
      <c r="M68" s="18" t="str">
        <f>IF(L68&lt;50,"F",IF(L68&lt;=54.99,"P",IF(L68&lt;=59.99,"C",IF(L68&lt;=64.99,"B",IF(L68&lt;=69.99,"B+",IF(L68&lt;=74.99,"A",IF(L68&lt;=79.99,"A+","O")))))))</f>
        <v>A</v>
      </c>
      <c r="N68" s="18" t="str">
        <f>IF(L68&lt;50,"0",IF(L68&lt;=54.99,"4",IF(L68&lt;=59.99,"5",IF(L68&lt;=64.99,"6",IF(L68&lt;=69.99,"7",IF(L68&lt;=74.99,"8",IF(L68&lt;=79.99,"9","10")))))))</f>
        <v>8</v>
      </c>
      <c r="O68" s="28">
        <v>4</v>
      </c>
      <c r="P68" s="29">
        <f>N68*O68</f>
        <v>32</v>
      </c>
      <c r="Q68" s="21">
        <f>'[5]3rd Subject'!$C5</f>
        <v>32</v>
      </c>
      <c r="R68" s="21">
        <f>'[5]3rd Subject'!$D5</f>
        <v>42</v>
      </c>
      <c r="S68" s="27">
        <f>R68+Q68</f>
        <v>74</v>
      </c>
      <c r="T68" s="18" t="str">
        <f>IF(S68&lt;50,"F",IF(S68&lt;=54.99,"P",IF(S68&lt;=59.99,"C",IF(S68&lt;=64.99,"B",IF(S68&lt;=69.99,"B+",IF(S68&lt;=74.99,"A",IF(S68&lt;=79.99,"A+","O")))))))</f>
        <v>A</v>
      </c>
      <c r="U68" s="18" t="str">
        <f>IF(S68&lt;50,"0",IF(S68&lt;=54.99,"4",IF(S68&lt;=59.99,"5",IF(S68&lt;=64.99,"6",IF(S68&lt;=69.99,"7",IF(S68&lt;=74.99,"8",IF(S68&lt;=79.99,"9","10")))))))</f>
        <v>8</v>
      </c>
      <c r="V68" s="28">
        <v>4</v>
      </c>
      <c r="W68" s="29">
        <f>U68*V68</f>
        <v>32</v>
      </c>
      <c r="X68" s="22">
        <f>'[6]4th Subject'!$C5</f>
        <v>32</v>
      </c>
      <c r="Y68" s="23">
        <f>'[6]4th Subject'!$D5</f>
        <v>42</v>
      </c>
      <c r="Z68" s="27">
        <f>Y68+X68</f>
        <v>74</v>
      </c>
      <c r="AA68" s="18" t="str">
        <f>IF(Z68&lt;50,"F",IF(Z68&lt;=54.99,"P",IF(Z68&lt;=59.99,"C",IF(Z68&lt;=64.99,"B",IF(Z68&lt;=69.99,"B+",IF(Z68&lt;=74.99,"A",IF(Z68&lt;=79.99,"A+","O")))))))</f>
        <v>A</v>
      </c>
      <c r="AB68" s="18" t="str">
        <f>IF(Z68&lt;50,"0",IF(Z68&lt;=54.99,"4",IF(Z68&lt;=59.99,"5",IF(Z68&lt;=64.99,"6",IF(Z68&lt;=69.99,"7",IF(Z68&lt;=74.99,"8",IF(Z68&lt;=79.99,"9","10")))))))</f>
        <v>8</v>
      </c>
      <c r="AC68" s="28">
        <v>4</v>
      </c>
      <c r="AD68" s="29">
        <f>AB68*AC68</f>
        <v>32</v>
      </c>
      <c r="AE68" s="22">
        <f>'[7]5th Subject'!$C5</f>
        <v>32</v>
      </c>
      <c r="AF68" s="23">
        <f>'[7]5th Subject'!$D5</f>
        <v>42</v>
      </c>
      <c r="AG68" s="27">
        <f>AF68+AE68</f>
        <v>74</v>
      </c>
      <c r="AH68" s="18" t="str">
        <f>IF(AG68&lt;50,"F",IF(AG68&lt;=54.99,"P",IF(AG68&lt;=59.99,"C",IF(AG68&lt;=64.99,"B",IF(AG68&lt;=69.99,"B+",IF(AG68&lt;=74.99,"A",IF(AG68&lt;=79.99,"A+","O")))))))</f>
        <v>A</v>
      </c>
      <c r="AI68" s="18" t="str">
        <f>IF(AG68&lt;50,"0",IF(AG68&lt;=54.99,"4",IF(AG68&lt;=59.99,"5",IF(AG68&lt;=64.99,"6",IF(AG68&lt;=69.99,"7",IF(AG68&lt;=74.99,"8",IF(AG68&lt;=79.99,"9","10")))))))</f>
        <v>8</v>
      </c>
      <c r="AJ68" s="28">
        <v>4</v>
      </c>
      <c r="AK68" s="29">
        <f>AI68*AJ68</f>
        <v>32</v>
      </c>
      <c r="AL68" s="22">
        <f>'[8]6th Subject'!$C5</f>
        <v>32</v>
      </c>
      <c r="AM68" s="22">
        <f>'[8]6th Subject'!$D5</f>
        <v>42</v>
      </c>
      <c r="AN68" s="27">
        <f>AM68+AL68</f>
        <v>74</v>
      </c>
      <c r="AO68" s="18" t="str">
        <f>IF(AN68&lt;50,"F",IF(AN68&lt;=54.99,"P",IF(AN68&lt;=59.99,"C",IF(AN68&lt;=64.99,"B",IF(AN68&lt;=69.99,"B+",IF(AN68&lt;=74.99,"A",IF(AN68&lt;=79.99,"A+","O")))))))</f>
        <v>A</v>
      </c>
      <c r="AP68" s="18" t="str">
        <f>IF(AN68&lt;50,"0",IF(AN68&lt;=54.99,"4",IF(AN68&lt;=59.99,"5",IF(AN68&lt;=64.99,"6",IF(AN68&lt;=69.99,"7",IF(AN68&lt;=74.99,"8",IF(AN68&lt;=79.99,"9","10")))))))</f>
        <v>8</v>
      </c>
      <c r="AQ68" s="28">
        <v>4</v>
      </c>
      <c r="AR68" s="29">
        <f>AP68*AQ68</f>
        <v>32</v>
      </c>
      <c r="AS68" s="16">
        <f>'[9]7th Subject'!$C5</f>
        <v>32</v>
      </c>
      <c r="AT68" s="16">
        <f>'[9]7th Subject'!$D5</f>
        <v>42</v>
      </c>
      <c r="AU68" s="27">
        <f>AT68+AS68</f>
        <v>74</v>
      </c>
      <c r="AV68" s="18" t="str">
        <f>IF(AU68&lt;50,"F",IF(AU68&lt;=54.99,"P",IF(AU68&lt;=59.99,"C",IF(AU68&lt;=64.99,"B",IF(AU68&lt;=69.99,"B+",IF(AU68&lt;=74.99,"A",IF(AU68&lt;=79.99,"A+","O")))))))</f>
        <v>A</v>
      </c>
      <c r="AW68" s="18" t="str">
        <f>IF(AU68&lt;50,"0",IF(AU68&lt;=54.99,"4",IF(AU68&lt;=59.99,"5",IF(AU68&lt;=64.99,"6",IF(AU68&lt;=69.99,"7",IF(AU68&lt;=74.99,"8",IF(AU68&lt;=79.99,"9","10")))))))</f>
        <v>8</v>
      </c>
      <c r="AX68" s="28">
        <v>4</v>
      </c>
      <c r="AY68" s="29">
        <f>AW68*AX68</f>
        <v>32</v>
      </c>
      <c r="AZ68" s="22">
        <f>'[10]8th Subject'!$C5</f>
        <v>32</v>
      </c>
      <c r="BA68" s="22">
        <f>'[10]8th Subject'!$D5</f>
        <v>42</v>
      </c>
      <c r="BB68" s="27">
        <f>BA68+AZ68</f>
        <v>74</v>
      </c>
      <c r="BC68" s="18" t="str">
        <f>IF(BB68&lt;50,"F",IF(BB68&lt;=54.99,"P",IF(BB68&lt;=59.99,"C",IF(BB68&lt;=64.99,"B",IF(BB68&lt;=69.99,"B+",IF(BB68&lt;=74.99,"A",IF(BB68&lt;=79.99,"A+","O")))))))</f>
        <v>A</v>
      </c>
      <c r="BD68" s="18" t="str">
        <f>IF(BB68&lt;50,"0",IF(BB68&lt;=54.99,"4",IF(BB68&lt;=59.99,"5",IF(BB68&lt;=64.99,"6",IF(BB68&lt;=69.99,"7",IF(BB68&lt;=74.99,"8",IF(BB68&lt;=79.99,"9","10")))))))</f>
        <v>8</v>
      </c>
      <c r="BE68" s="28">
        <v>4</v>
      </c>
      <c r="BF68" s="29">
        <f>BD68*BE68</f>
        <v>32</v>
      </c>
      <c r="BG68" s="27">
        <f>AZ68+AS68+AE68+X68+J68+C68+Q68+AL68</f>
        <v>256</v>
      </c>
      <c r="BH68" s="27">
        <f>BA68+AT68+AF68+Y68+K68+D68+R68+AM68</f>
        <v>314</v>
      </c>
      <c r="BI68" s="27">
        <f>BH68+BG68</f>
        <v>570</v>
      </c>
      <c r="BJ68" s="30">
        <f>G68+N68+U68+AB68+AI68+AP68+BD68+AW68</f>
        <v>60</v>
      </c>
      <c r="BK68" s="30">
        <f>I68+P68+W68+AD68+AK68+AY68+BF68+AR68</f>
        <v>240</v>
      </c>
      <c r="BL68" s="25">
        <f>(BN68-0.75)*10</f>
        <v>67.5</v>
      </c>
      <c r="BM68" s="17" t="str">
        <f>IF(OR(C68&lt;20,D68&lt;30,J68&lt;20,K68&lt;30,Q68&lt;20,R68&lt;30,X68&lt;20,Y68&lt;30,AE68&lt;20,AF68&lt;30,AL68&lt;20,AM68&lt;30,AS68&lt;20,AT68&lt;30,AZ68&lt;20,BA68&lt;30),"Unsuccessful","Successful")</f>
        <v>Unsuccessful</v>
      </c>
      <c r="BN68" s="31">
        <f>BK68/32</f>
        <v>7.5</v>
      </c>
      <c r="BO68" s="18" t="str">
        <f>IF(BN68&lt;=4,"F",IF(BN68&lt;=4.5,"P",IF(BN68&lt;=5.5,"C",IF(BN68&lt;=6.5,"B",IF(BN68&lt;=7.5,"B+",IF(BN68&lt;=8.5,"A",IF(BN68&lt;=9.5,"A+","O")))))))</f>
        <v>B+</v>
      </c>
      <c r="BP68" s="14" t="str">
        <f>IF(BN68&lt;=4,"50",IF(BN68&lt;=4.5,"50-54.99",IF(BN68&lt;=5.5,"55-59.99",IF(BN68&lt;=6.5,"60-64.99",IF(BN68&lt;=7.5,"65-69.99",IF(BN68&lt;=8.5,"70-74.99",IF(BN68&lt;=9.5,"75-79.99","10")))))))</f>
        <v>65-69.99</v>
      </c>
      <c r="BS68">
        <f>RANK(BN68,$BN$3:$BN$135)</f>
        <v>66</v>
      </c>
    </row>
    <row r="69" spans="1:71" x14ac:dyDescent="0.25">
      <c r="A69" s="14" t="str">
        <f>[2]Sheet1!$A6</f>
        <v>MMS18-20/005</v>
      </c>
      <c r="B69" s="15" t="str">
        <f>[2]Sheet1!$B6</f>
        <v>/ARANJO JULIANA MICHAEL LEENA</v>
      </c>
      <c r="C69" s="16">
        <f>'[3]1st Subject'!$C7</f>
        <v>35</v>
      </c>
      <c r="D69" s="16">
        <f>'[3]1st Subject'!$D7</f>
        <v>55</v>
      </c>
      <c r="E69" s="27">
        <f>D69+C69</f>
        <v>90</v>
      </c>
      <c r="F69" s="18" t="str">
        <f>IF(E69&lt;50,"F",IF(E69&lt;=54.99,"P",IF(E69&lt;=59.99,"C",IF(E69&lt;=64.99,"B",IF(E69&lt;=69.99,"B+",IF(E69&lt;=74.99,"A",IF(E69&lt;=79.99,"A+","O")))))))</f>
        <v>O</v>
      </c>
      <c r="G69" s="18" t="str">
        <f>IF(E69&lt;50,"0",IF(E69&lt;=54.99,"4",IF(E69&lt;=59.99,"5",IF(E69&lt;=64.99,"6",IF(E69&lt;=69.99,"7",IF(E69&lt;=74.99,"8",IF(E69&lt;=79.99,"9","10")))))))</f>
        <v>10</v>
      </c>
      <c r="H69" s="28">
        <v>4</v>
      </c>
      <c r="I69" s="29">
        <f>G69*H69</f>
        <v>40</v>
      </c>
      <c r="J69" s="16">
        <f>'[4]2nd Subject'!$C7</f>
        <v>33</v>
      </c>
      <c r="K69" s="16">
        <f>'[4]2nd Subject'!$D7</f>
        <v>36</v>
      </c>
      <c r="L69" s="27">
        <f>K69+J69</f>
        <v>69</v>
      </c>
      <c r="M69" s="18" t="str">
        <f>IF(L69&lt;50,"F",IF(L69&lt;=54.99,"P",IF(L69&lt;=59.99,"C",IF(L69&lt;=64.99,"B",IF(L69&lt;=69.99,"B+",IF(L69&lt;=74.99,"A",IF(L69&lt;=79.99,"A+","O")))))))</f>
        <v>B+</v>
      </c>
      <c r="N69" s="18" t="str">
        <f>IF(L69&lt;50,"0",IF(L69&lt;=54.99,"4",IF(L69&lt;=59.99,"5",IF(L69&lt;=64.99,"6",IF(L69&lt;=69.99,"7",IF(L69&lt;=74.99,"8",IF(L69&lt;=79.99,"9","10")))))))</f>
        <v>7</v>
      </c>
      <c r="O69" s="28">
        <v>4</v>
      </c>
      <c r="P69" s="29">
        <f>N69*O69</f>
        <v>28</v>
      </c>
      <c r="Q69" s="21">
        <f>'[5]3rd Subject'!$C7</f>
        <v>33</v>
      </c>
      <c r="R69" s="21">
        <f>'[5]3rd Subject'!$D7</f>
        <v>36</v>
      </c>
      <c r="S69" s="27">
        <f>R69+Q69</f>
        <v>69</v>
      </c>
      <c r="T69" s="18" t="str">
        <f>IF(S69&lt;50,"F",IF(S69&lt;=54.99,"P",IF(S69&lt;=59.99,"C",IF(S69&lt;=64.99,"B",IF(S69&lt;=69.99,"B+",IF(S69&lt;=74.99,"A",IF(S69&lt;=79.99,"A+","O")))))))</f>
        <v>B+</v>
      </c>
      <c r="U69" s="18" t="str">
        <f>IF(S69&lt;50,"0",IF(S69&lt;=54.99,"4",IF(S69&lt;=59.99,"5",IF(S69&lt;=64.99,"6",IF(S69&lt;=69.99,"7",IF(S69&lt;=74.99,"8",IF(S69&lt;=79.99,"9","10")))))))</f>
        <v>7</v>
      </c>
      <c r="V69" s="28">
        <v>4</v>
      </c>
      <c r="W69" s="29">
        <f>U69*V69</f>
        <v>28</v>
      </c>
      <c r="X69" s="22">
        <f>'[6]4th Subject'!$C7</f>
        <v>33</v>
      </c>
      <c r="Y69" s="23">
        <f>'[6]4th Subject'!$D7</f>
        <v>36</v>
      </c>
      <c r="Z69" s="27">
        <f>Y69+X69</f>
        <v>69</v>
      </c>
      <c r="AA69" s="18" t="str">
        <f>IF(Z69&lt;50,"F",IF(Z69&lt;=54.99,"P",IF(Z69&lt;=59.99,"C",IF(Z69&lt;=64.99,"B",IF(Z69&lt;=69.99,"B+",IF(Z69&lt;=74.99,"A",IF(Z69&lt;=79.99,"A+","O")))))))</f>
        <v>B+</v>
      </c>
      <c r="AB69" s="18" t="str">
        <f>IF(Z69&lt;50,"0",IF(Z69&lt;=54.99,"4",IF(Z69&lt;=59.99,"5",IF(Z69&lt;=64.99,"6",IF(Z69&lt;=69.99,"7",IF(Z69&lt;=74.99,"8",IF(Z69&lt;=79.99,"9","10")))))))</f>
        <v>7</v>
      </c>
      <c r="AC69" s="28">
        <v>4</v>
      </c>
      <c r="AD69" s="29">
        <f>AB69*AC69</f>
        <v>28</v>
      </c>
      <c r="AE69" s="22">
        <f>'[7]5th Subject'!$C7</f>
        <v>33</v>
      </c>
      <c r="AF69" s="23">
        <f>'[7]5th Subject'!$D7</f>
        <v>36</v>
      </c>
      <c r="AG69" s="27">
        <f>AF69+AE69</f>
        <v>69</v>
      </c>
      <c r="AH69" s="18" t="str">
        <f>IF(AG69&lt;50,"F",IF(AG69&lt;=54.99,"P",IF(AG69&lt;=59.99,"C",IF(AG69&lt;=64.99,"B",IF(AG69&lt;=69.99,"B+",IF(AG69&lt;=74.99,"A",IF(AG69&lt;=79.99,"A+","O")))))))</f>
        <v>B+</v>
      </c>
      <c r="AI69" s="18" t="str">
        <f>IF(AG69&lt;50,"0",IF(AG69&lt;=54.99,"4",IF(AG69&lt;=59.99,"5",IF(AG69&lt;=64.99,"6",IF(AG69&lt;=69.99,"7",IF(AG69&lt;=74.99,"8",IF(AG69&lt;=79.99,"9","10")))))))</f>
        <v>7</v>
      </c>
      <c r="AJ69" s="28">
        <v>4</v>
      </c>
      <c r="AK69" s="29">
        <f>AI69*AJ69</f>
        <v>28</v>
      </c>
      <c r="AL69" s="22">
        <f>'[8]6th Subject'!$C7</f>
        <v>33</v>
      </c>
      <c r="AM69" s="22">
        <f>'[8]6th Subject'!$D7</f>
        <v>36</v>
      </c>
      <c r="AN69" s="27">
        <f>AM69+AL69</f>
        <v>69</v>
      </c>
      <c r="AO69" s="18" t="str">
        <f>IF(AN69&lt;50,"F",IF(AN69&lt;=54.99,"P",IF(AN69&lt;=59.99,"C",IF(AN69&lt;=64.99,"B",IF(AN69&lt;=69.99,"B+",IF(AN69&lt;=74.99,"A",IF(AN69&lt;=79.99,"A+","O")))))))</f>
        <v>B+</v>
      </c>
      <c r="AP69" s="18" t="str">
        <f>IF(AN69&lt;50,"0",IF(AN69&lt;=54.99,"4",IF(AN69&lt;=59.99,"5",IF(AN69&lt;=64.99,"6",IF(AN69&lt;=69.99,"7",IF(AN69&lt;=74.99,"8",IF(AN69&lt;=79.99,"9","10")))))))</f>
        <v>7</v>
      </c>
      <c r="AQ69" s="28">
        <v>4</v>
      </c>
      <c r="AR69" s="29">
        <f>AP69*AQ69</f>
        <v>28</v>
      </c>
      <c r="AS69" s="16">
        <f>'[9]7th Subject'!$C7</f>
        <v>33</v>
      </c>
      <c r="AT69" s="16">
        <f>'[9]7th Subject'!$D7</f>
        <v>36</v>
      </c>
      <c r="AU69" s="27">
        <f>AT69+AS69</f>
        <v>69</v>
      </c>
      <c r="AV69" s="18" t="str">
        <f>IF(AU69&lt;50,"F",IF(AU69&lt;=54.99,"P",IF(AU69&lt;=59.99,"C",IF(AU69&lt;=64.99,"B",IF(AU69&lt;=69.99,"B+",IF(AU69&lt;=74.99,"A",IF(AU69&lt;=79.99,"A+","O")))))))</f>
        <v>B+</v>
      </c>
      <c r="AW69" s="18" t="str">
        <f>IF(AU69&lt;50,"0",IF(AU69&lt;=54.99,"4",IF(AU69&lt;=59.99,"5",IF(AU69&lt;=64.99,"6",IF(AU69&lt;=69.99,"7",IF(AU69&lt;=74.99,"8",IF(AU69&lt;=79.99,"9","10")))))))</f>
        <v>7</v>
      </c>
      <c r="AX69" s="28">
        <v>4</v>
      </c>
      <c r="AY69" s="29">
        <f>AW69*AX69</f>
        <v>28</v>
      </c>
      <c r="AZ69" s="22">
        <f>'[10]8th Subject'!$C7</f>
        <v>33</v>
      </c>
      <c r="BA69" s="22">
        <f>'[10]8th Subject'!$D7</f>
        <v>36</v>
      </c>
      <c r="BB69" s="27">
        <f>BA69+AZ69</f>
        <v>69</v>
      </c>
      <c r="BC69" s="18" t="str">
        <f>IF(BB69&lt;50,"F",IF(BB69&lt;=54.99,"P",IF(BB69&lt;=59.99,"C",IF(BB69&lt;=64.99,"B",IF(BB69&lt;=69.99,"B+",IF(BB69&lt;=74.99,"A",IF(BB69&lt;=79.99,"A+","O")))))))</f>
        <v>B+</v>
      </c>
      <c r="BD69" s="18" t="str">
        <f>IF(BB69&lt;50,"0",IF(BB69&lt;=54.99,"4",IF(BB69&lt;=59.99,"5",IF(BB69&lt;=64.99,"6",IF(BB69&lt;=69.99,"7",IF(BB69&lt;=74.99,"8",IF(BB69&lt;=79.99,"9","10")))))))</f>
        <v>7</v>
      </c>
      <c r="BE69" s="28">
        <v>4</v>
      </c>
      <c r="BF69" s="29">
        <f>BD69*BE69</f>
        <v>28</v>
      </c>
      <c r="BG69" s="27">
        <f>AZ69+AS69+AE69+X69+J69+C69+Q69+AL69</f>
        <v>266</v>
      </c>
      <c r="BH69" s="27">
        <f>BA69+AT69+AF69+Y69+K69+D69+R69+AM69</f>
        <v>307</v>
      </c>
      <c r="BI69" s="27">
        <f>BH69+BG69</f>
        <v>573</v>
      </c>
      <c r="BJ69" s="30">
        <f>G69+N69+U69+AB69+AI69+AP69+BD69+AW69</f>
        <v>59</v>
      </c>
      <c r="BK69" s="30">
        <f>I69+P69+W69+AD69+AK69+AY69+BF69+AR69</f>
        <v>236</v>
      </c>
      <c r="BL69" s="25">
        <f>(BN69-0.75)*10</f>
        <v>66.25</v>
      </c>
      <c r="BM69" s="17" t="str">
        <f>IF(OR(C69&lt;20,D69&lt;30,J69&lt;20,K69&lt;30,Q69&lt;20,R69&lt;30,X69&lt;20,Y69&lt;30,AE69&lt;20,AF69&lt;30,AL69&lt;20,AM69&lt;30,AS69&lt;20,AT69&lt;30,AZ69&lt;20,BA69&lt;30),"Unsuccessful","Successful")</f>
        <v>Successful</v>
      </c>
      <c r="BN69" s="31">
        <f>BK69/32</f>
        <v>7.375</v>
      </c>
      <c r="BO69" s="18" t="str">
        <f>IF(BN69&lt;=4,"F",IF(BN69&lt;=4.5,"P",IF(BN69&lt;=5.5,"C",IF(BN69&lt;=6.5,"B",IF(BN69&lt;=7.5,"B+",IF(BN69&lt;=8.5,"A",IF(BN69&lt;=9.5,"A+","O")))))))</f>
        <v>B+</v>
      </c>
      <c r="BP69" s="14" t="str">
        <f>IF(BN69&lt;=4,"50",IF(BN69&lt;=4.5,"50-54.99",IF(BN69&lt;=5.5,"55-59.99",IF(BN69&lt;=6.5,"60-64.99",IF(BN69&lt;=7.5,"65-69.99",IF(BN69&lt;=8.5,"70-74.99",IF(BN69&lt;=9.5,"75-79.99","10")))))))</f>
        <v>65-69.99</v>
      </c>
      <c r="BS69">
        <f>RANK(BN69,$BN$3:$BN$135)</f>
        <v>67</v>
      </c>
    </row>
    <row r="70" spans="1:71" x14ac:dyDescent="0.25">
      <c r="A70" s="14" t="str">
        <f>[2]Sheet1!$A11</f>
        <v>MMS18-20/010</v>
      </c>
      <c r="B70" s="15" t="str">
        <f>[2]Sheet1!$B11</f>
        <v>BHANGALE BHUPENDRA RAMESH JYOTI</v>
      </c>
      <c r="C70" s="16">
        <f>'[3]1st Subject'!$C12</f>
        <v>31</v>
      </c>
      <c r="D70" s="16">
        <f>'[3]1st Subject'!$D12</f>
        <v>38</v>
      </c>
      <c r="E70" s="27">
        <f>D70+C70</f>
        <v>69</v>
      </c>
      <c r="F70" s="18" t="str">
        <f>IF(E70&lt;50,"F",IF(E70&lt;=54.99,"P",IF(E70&lt;=59.99,"C",IF(E70&lt;=64.99,"B",IF(E70&lt;=69.99,"B+",IF(E70&lt;=74.99,"A",IF(E70&lt;=79.99,"A+","O")))))))</f>
        <v>B+</v>
      </c>
      <c r="G70" s="18" t="str">
        <f>IF(E70&lt;50,"0",IF(E70&lt;=54.99,"4",IF(E70&lt;=59.99,"5",IF(E70&lt;=64.99,"6",IF(E70&lt;=69.99,"7",IF(E70&lt;=74.99,"8",IF(E70&lt;=79.99,"9","10")))))))</f>
        <v>7</v>
      </c>
      <c r="H70" s="28">
        <v>4</v>
      </c>
      <c r="I70" s="29">
        <f>G70*H70</f>
        <v>28</v>
      </c>
      <c r="J70" s="16">
        <f>'[4]2nd Subject'!$C12</f>
        <v>31</v>
      </c>
      <c r="K70" s="16">
        <f>'[4]2nd Subject'!$D12</f>
        <v>38</v>
      </c>
      <c r="L70" s="27">
        <f>K70+J70</f>
        <v>69</v>
      </c>
      <c r="M70" s="18" t="str">
        <f>IF(L70&lt;50,"F",IF(L70&lt;=54.99,"P",IF(L70&lt;=59.99,"C",IF(L70&lt;=64.99,"B",IF(L70&lt;=69.99,"B+",IF(L70&lt;=74.99,"A",IF(L70&lt;=79.99,"A+","O")))))))</f>
        <v>B+</v>
      </c>
      <c r="N70" s="18" t="str">
        <f>IF(L70&lt;50,"0",IF(L70&lt;=54.99,"4",IF(L70&lt;=59.99,"5",IF(L70&lt;=64.99,"6",IF(L70&lt;=69.99,"7",IF(L70&lt;=74.99,"8",IF(L70&lt;=79.99,"9","10")))))))</f>
        <v>7</v>
      </c>
      <c r="O70" s="28">
        <v>4</v>
      </c>
      <c r="P70" s="29">
        <f>N70*O70</f>
        <v>28</v>
      </c>
      <c r="Q70" s="21">
        <f>'[5]3rd Subject'!$C12</f>
        <v>31</v>
      </c>
      <c r="R70" s="21">
        <f>'[5]3rd Subject'!$D12</f>
        <v>38</v>
      </c>
      <c r="S70" s="27">
        <f>R70+Q70</f>
        <v>69</v>
      </c>
      <c r="T70" s="18" t="str">
        <f>IF(S70&lt;50,"F",IF(S70&lt;=54.99,"P",IF(S70&lt;=59.99,"C",IF(S70&lt;=64.99,"B",IF(S70&lt;=69.99,"B+",IF(S70&lt;=74.99,"A",IF(S70&lt;=79.99,"A+","O")))))))</f>
        <v>B+</v>
      </c>
      <c r="U70" s="18" t="str">
        <f>IF(S70&lt;50,"0",IF(S70&lt;=54.99,"4",IF(S70&lt;=59.99,"5",IF(S70&lt;=64.99,"6",IF(S70&lt;=69.99,"7",IF(S70&lt;=74.99,"8",IF(S70&lt;=79.99,"9","10")))))))</f>
        <v>7</v>
      </c>
      <c r="V70" s="28">
        <v>4</v>
      </c>
      <c r="W70" s="29">
        <f>U70*V70</f>
        <v>28</v>
      </c>
      <c r="X70" s="22">
        <f>'[6]4th Subject'!$C12</f>
        <v>31</v>
      </c>
      <c r="Y70" s="23">
        <f>'[6]4th Subject'!$D12</f>
        <v>38</v>
      </c>
      <c r="Z70" s="27">
        <f>Y70+X70</f>
        <v>69</v>
      </c>
      <c r="AA70" s="18" t="str">
        <f>IF(Z70&lt;50,"F",IF(Z70&lt;=54.99,"P",IF(Z70&lt;=59.99,"C",IF(Z70&lt;=64.99,"B",IF(Z70&lt;=69.99,"B+",IF(Z70&lt;=74.99,"A",IF(Z70&lt;=79.99,"A+","O")))))))</f>
        <v>B+</v>
      </c>
      <c r="AB70" s="18" t="str">
        <f>IF(Z70&lt;50,"0",IF(Z70&lt;=54.99,"4",IF(Z70&lt;=59.99,"5",IF(Z70&lt;=64.99,"6",IF(Z70&lt;=69.99,"7",IF(Z70&lt;=74.99,"8",IF(Z70&lt;=79.99,"9","10")))))))</f>
        <v>7</v>
      </c>
      <c r="AC70" s="28">
        <v>4</v>
      </c>
      <c r="AD70" s="29">
        <f>AB70*AC70</f>
        <v>28</v>
      </c>
      <c r="AE70" s="22">
        <f>'[7]5th Subject'!$C12</f>
        <v>31</v>
      </c>
      <c r="AF70" s="23">
        <f>'[7]5th Subject'!$D12</f>
        <v>38</v>
      </c>
      <c r="AG70" s="27">
        <f>AF70+AE70</f>
        <v>69</v>
      </c>
      <c r="AH70" s="18" t="str">
        <f>IF(AG70&lt;50,"F",IF(AG70&lt;=54.99,"P",IF(AG70&lt;=59.99,"C",IF(AG70&lt;=64.99,"B",IF(AG70&lt;=69.99,"B+",IF(AG70&lt;=74.99,"A",IF(AG70&lt;=79.99,"A+","O")))))))</f>
        <v>B+</v>
      </c>
      <c r="AI70" s="18" t="str">
        <f>IF(AG70&lt;50,"0",IF(AG70&lt;=54.99,"4",IF(AG70&lt;=59.99,"5",IF(AG70&lt;=64.99,"6",IF(AG70&lt;=69.99,"7",IF(AG70&lt;=74.99,"8",IF(AG70&lt;=79.99,"9","10")))))))</f>
        <v>7</v>
      </c>
      <c r="AJ70" s="28">
        <v>4</v>
      </c>
      <c r="AK70" s="29">
        <f>AI70*AJ70</f>
        <v>28</v>
      </c>
      <c r="AL70" s="22">
        <f>'[8]6th Subject'!$C12</f>
        <v>31</v>
      </c>
      <c r="AM70" s="22">
        <f>'[8]6th Subject'!$D12</f>
        <v>38</v>
      </c>
      <c r="AN70" s="27">
        <f>AM70+AL70</f>
        <v>69</v>
      </c>
      <c r="AO70" s="18" t="str">
        <f>IF(AN70&lt;50,"F",IF(AN70&lt;=54.99,"P",IF(AN70&lt;=59.99,"C",IF(AN70&lt;=64.99,"B",IF(AN70&lt;=69.99,"B+",IF(AN70&lt;=74.99,"A",IF(AN70&lt;=79.99,"A+","O")))))))</f>
        <v>B+</v>
      </c>
      <c r="AP70" s="18" t="str">
        <f>IF(AN70&lt;50,"0",IF(AN70&lt;=54.99,"4",IF(AN70&lt;=59.99,"5",IF(AN70&lt;=64.99,"6",IF(AN70&lt;=69.99,"7",IF(AN70&lt;=74.99,"8",IF(AN70&lt;=79.99,"9","10")))))))</f>
        <v>7</v>
      </c>
      <c r="AQ70" s="28">
        <v>4</v>
      </c>
      <c r="AR70" s="29">
        <f>AP70*AQ70</f>
        <v>28</v>
      </c>
      <c r="AS70" s="16">
        <f>'[9]7th Subject'!$C12</f>
        <v>31</v>
      </c>
      <c r="AT70" s="16">
        <f>'[9]7th Subject'!$D12</f>
        <v>38</v>
      </c>
      <c r="AU70" s="27">
        <f>AT70+AS70</f>
        <v>69</v>
      </c>
      <c r="AV70" s="18" t="str">
        <f>IF(AU70&lt;50,"F",IF(AU70&lt;=54.99,"P",IF(AU70&lt;=59.99,"C",IF(AU70&lt;=64.99,"B",IF(AU70&lt;=69.99,"B+",IF(AU70&lt;=74.99,"A",IF(AU70&lt;=79.99,"A+","O")))))))</f>
        <v>B+</v>
      </c>
      <c r="AW70" s="18" t="str">
        <f>IF(AU70&lt;50,"0",IF(AU70&lt;=54.99,"4",IF(AU70&lt;=59.99,"5",IF(AU70&lt;=64.99,"6",IF(AU70&lt;=69.99,"7",IF(AU70&lt;=74.99,"8",IF(AU70&lt;=79.99,"9","10")))))))</f>
        <v>7</v>
      </c>
      <c r="AX70" s="28">
        <v>4</v>
      </c>
      <c r="AY70" s="29">
        <f>AW70*AX70</f>
        <v>28</v>
      </c>
      <c r="AZ70" s="22">
        <f>'[10]8th Subject'!$C12</f>
        <v>31</v>
      </c>
      <c r="BA70" s="22">
        <f>'[10]8th Subject'!$D12</f>
        <v>38</v>
      </c>
      <c r="BB70" s="27">
        <f>BA70+AZ70</f>
        <v>69</v>
      </c>
      <c r="BC70" s="18" t="str">
        <f>IF(BB70&lt;50,"F",IF(BB70&lt;=54.99,"P",IF(BB70&lt;=59.99,"C",IF(BB70&lt;=64.99,"B",IF(BB70&lt;=69.99,"B+",IF(BB70&lt;=74.99,"A",IF(BB70&lt;=79.99,"A+","O")))))))</f>
        <v>B+</v>
      </c>
      <c r="BD70" s="18" t="str">
        <f>IF(BB70&lt;50,"0",IF(BB70&lt;=54.99,"4",IF(BB70&lt;=59.99,"5",IF(BB70&lt;=64.99,"6",IF(BB70&lt;=69.99,"7",IF(BB70&lt;=74.99,"8",IF(BB70&lt;=79.99,"9","10")))))))</f>
        <v>7</v>
      </c>
      <c r="BE70" s="28">
        <v>4</v>
      </c>
      <c r="BF70" s="29">
        <f>BD70*BE70</f>
        <v>28</v>
      </c>
      <c r="BG70" s="27">
        <f>AZ70+AS70+AE70+X70+J70+C70+Q70+AL70</f>
        <v>248</v>
      </c>
      <c r="BH70" s="27">
        <f>BA70+AT70+AF70+Y70+K70+D70+R70+AM70</f>
        <v>304</v>
      </c>
      <c r="BI70" s="27">
        <f>BH70+BG70</f>
        <v>552</v>
      </c>
      <c r="BJ70" s="30">
        <f>G70+N70+U70+AB70+AI70+AP70+BD70+AW70</f>
        <v>56</v>
      </c>
      <c r="BK70" s="30">
        <f>I70+P70+W70+AD70+AK70+AY70+BF70+AR70</f>
        <v>224</v>
      </c>
      <c r="BL70" s="25">
        <f>(BN70-0.75)*10</f>
        <v>62.5</v>
      </c>
      <c r="BM70" s="17" t="str">
        <f>IF(OR(C70&lt;20,D70&lt;30,J70&lt;20,K70&lt;30,Q70&lt;20,R70&lt;30,X70&lt;20,Y70&lt;30,AE70&lt;20,AF70&lt;30,AL70&lt;20,AM70&lt;30,AS70&lt;20,AT70&lt;30,AZ70&lt;20,BA70&lt;30),"Unsuccessful","Successful")</f>
        <v>Successful</v>
      </c>
      <c r="BN70" s="31">
        <f>BK70/32</f>
        <v>7</v>
      </c>
      <c r="BO70" s="18" t="str">
        <f>IF(BN70&lt;=4,"F",IF(BN70&lt;=4.5,"P",IF(BN70&lt;=5.5,"C",IF(BN70&lt;=6.5,"B",IF(BN70&lt;=7.5,"B+",IF(BN70&lt;=8.5,"A",IF(BN70&lt;=9.5,"A+","O")))))))</f>
        <v>B+</v>
      </c>
      <c r="BP70" s="14" t="str">
        <f>IF(BN70&lt;=4,"50",IF(BN70&lt;=4.5,"50-54.99",IF(BN70&lt;=5.5,"55-59.99",IF(BN70&lt;=6.5,"60-64.99",IF(BN70&lt;=7.5,"65-69.99",IF(BN70&lt;=8.5,"70-74.99",IF(BN70&lt;=9.5,"75-79.99","10")))))))</f>
        <v>65-69.99</v>
      </c>
      <c r="BS70">
        <f>RANK(BN70,$BN$3:$BN$135)</f>
        <v>68</v>
      </c>
    </row>
    <row r="71" spans="1:71" x14ac:dyDescent="0.25">
      <c r="A71" s="14" t="str">
        <f>[2]Sheet1!$A17</f>
        <v>MMS18-20/016</v>
      </c>
      <c r="B71" s="15" t="str">
        <f>[2]Sheet1!$B17</f>
        <v>BORKAR DIPESH SHYAM SANGITA</v>
      </c>
      <c r="C71" s="16">
        <f>'[3]1st Subject'!$C18</f>
        <v>33</v>
      </c>
      <c r="D71" s="16">
        <f>'[3]1st Subject'!$D18</f>
        <v>36</v>
      </c>
      <c r="E71" s="27">
        <f>D71+C71</f>
        <v>69</v>
      </c>
      <c r="F71" s="18" t="str">
        <f>IF(E71&lt;50,"F",IF(E71&lt;=54.99,"P",IF(E71&lt;=59.99,"C",IF(E71&lt;=64.99,"B",IF(E71&lt;=69.99,"B+",IF(E71&lt;=74.99,"A",IF(E71&lt;=79.99,"A+","O")))))))</f>
        <v>B+</v>
      </c>
      <c r="G71" s="18" t="str">
        <f>IF(E71&lt;50,"0",IF(E71&lt;=54.99,"4",IF(E71&lt;=59.99,"5",IF(E71&lt;=64.99,"6",IF(E71&lt;=69.99,"7",IF(E71&lt;=74.99,"8",IF(E71&lt;=79.99,"9","10")))))))</f>
        <v>7</v>
      </c>
      <c r="H71" s="28">
        <v>4</v>
      </c>
      <c r="I71" s="29">
        <f>G71*H71</f>
        <v>28</v>
      </c>
      <c r="J71" s="16">
        <f>'[4]2nd Subject'!$C18</f>
        <v>33</v>
      </c>
      <c r="K71" s="16">
        <f>'[4]2nd Subject'!$D18</f>
        <v>36</v>
      </c>
      <c r="L71" s="27">
        <f>K71+J71</f>
        <v>69</v>
      </c>
      <c r="M71" s="18" t="str">
        <f>IF(L71&lt;50,"F",IF(L71&lt;=54.99,"P",IF(L71&lt;=59.99,"C",IF(L71&lt;=64.99,"B",IF(L71&lt;=69.99,"B+",IF(L71&lt;=74.99,"A",IF(L71&lt;=79.99,"A+","O")))))))</f>
        <v>B+</v>
      </c>
      <c r="N71" s="18" t="str">
        <f>IF(L71&lt;50,"0",IF(L71&lt;=54.99,"4",IF(L71&lt;=59.99,"5",IF(L71&lt;=64.99,"6",IF(L71&lt;=69.99,"7",IF(L71&lt;=74.99,"8",IF(L71&lt;=79.99,"9","10")))))))</f>
        <v>7</v>
      </c>
      <c r="O71" s="28">
        <v>4</v>
      </c>
      <c r="P71" s="29">
        <f>N71*O71</f>
        <v>28</v>
      </c>
      <c r="Q71" s="21">
        <f>'[5]3rd Subject'!$C18</f>
        <v>33</v>
      </c>
      <c r="R71" s="21">
        <f>'[5]3rd Subject'!$D18</f>
        <v>36</v>
      </c>
      <c r="S71" s="27">
        <f>R71+Q71</f>
        <v>69</v>
      </c>
      <c r="T71" s="18" t="str">
        <f>IF(S71&lt;50,"F",IF(S71&lt;=54.99,"P",IF(S71&lt;=59.99,"C",IF(S71&lt;=64.99,"B",IF(S71&lt;=69.99,"B+",IF(S71&lt;=74.99,"A",IF(S71&lt;=79.99,"A+","O")))))))</f>
        <v>B+</v>
      </c>
      <c r="U71" s="18" t="str">
        <f>IF(S71&lt;50,"0",IF(S71&lt;=54.99,"4",IF(S71&lt;=59.99,"5",IF(S71&lt;=64.99,"6",IF(S71&lt;=69.99,"7",IF(S71&lt;=74.99,"8",IF(S71&lt;=79.99,"9","10")))))))</f>
        <v>7</v>
      </c>
      <c r="V71" s="28">
        <v>4</v>
      </c>
      <c r="W71" s="29">
        <f>U71*V71</f>
        <v>28</v>
      </c>
      <c r="X71" s="22">
        <f>'[6]4th Subject'!$C18</f>
        <v>33</v>
      </c>
      <c r="Y71" s="23">
        <f>'[6]4th Subject'!$D18</f>
        <v>36</v>
      </c>
      <c r="Z71" s="27">
        <f>Y71+X71</f>
        <v>69</v>
      </c>
      <c r="AA71" s="18" t="str">
        <f>IF(Z71&lt;50,"F",IF(Z71&lt;=54.99,"P",IF(Z71&lt;=59.99,"C",IF(Z71&lt;=64.99,"B",IF(Z71&lt;=69.99,"B+",IF(Z71&lt;=74.99,"A",IF(Z71&lt;=79.99,"A+","O")))))))</f>
        <v>B+</v>
      </c>
      <c r="AB71" s="18" t="str">
        <f>IF(Z71&lt;50,"0",IF(Z71&lt;=54.99,"4",IF(Z71&lt;=59.99,"5",IF(Z71&lt;=64.99,"6",IF(Z71&lt;=69.99,"7",IF(Z71&lt;=74.99,"8",IF(Z71&lt;=79.99,"9","10")))))))</f>
        <v>7</v>
      </c>
      <c r="AC71" s="28">
        <v>4</v>
      </c>
      <c r="AD71" s="29">
        <f>AB71*AC71</f>
        <v>28</v>
      </c>
      <c r="AE71" s="22">
        <f>'[7]5th Subject'!$C18</f>
        <v>33</v>
      </c>
      <c r="AF71" s="23">
        <f>'[7]5th Subject'!$D18</f>
        <v>36</v>
      </c>
      <c r="AG71" s="27">
        <f>AF71+AE71</f>
        <v>69</v>
      </c>
      <c r="AH71" s="18" t="str">
        <f>IF(AG71&lt;50,"F",IF(AG71&lt;=54.99,"P",IF(AG71&lt;=59.99,"C",IF(AG71&lt;=64.99,"B",IF(AG71&lt;=69.99,"B+",IF(AG71&lt;=74.99,"A",IF(AG71&lt;=79.99,"A+","O")))))))</f>
        <v>B+</v>
      </c>
      <c r="AI71" s="18" t="str">
        <f>IF(AG71&lt;50,"0",IF(AG71&lt;=54.99,"4",IF(AG71&lt;=59.99,"5",IF(AG71&lt;=64.99,"6",IF(AG71&lt;=69.99,"7",IF(AG71&lt;=74.99,"8",IF(AG71&lt;=79.99,"9","10")))))))</f>
        <v>7</v>
      </c>
      <c r="AJ71" s="28">
        <v>4</v>
      </c>
      <c r="AK71" s="29">
        <f>AI71*AJ71</f>
        <v>28</v>
      </c>
      <c r="AL71" s="22">
        <f>'[8]6th Subject'!$C18</f>
        <v>33</v>
      </c>
      <c r="AM71" s="22">
        <f>'[8]6th Subject'!$D18</f>
        <v>36</v>
      </c>
      <c r="AN71" s="27">
        <f>AM71+AL71</f>
        <v>69</v>
      </c>
      <c r="AO71" s="18" t="str">
        <f>IF(AN71&lt;50,"F",IF(AN71&lt;=54.99,"P",IF(AN71&lt;=59.99,"C",IF(AN71&lt;=64.99,"B",IF(AN71&lt;=69.99,"B+",IF(AN71&lt;=74.99,"A",IF(AN71&lt;=79.99,"A+","O")))))))</f>
        <v>B+</v>
      </c>
      <c r="AP71" s="18" t="str">
        <f>IF(AN71&lt;50,"0",IF(AN71&lt;=54.99,"4",IF(AN71&lt;=59.99,"5",IF(AN71&lt;=64.99,"6",IF(AN71&lt;=69.99,"7",IF(AN71&lt;=74.99,"8",IF(AN71&lt;=79.99,"9","10")))))))</f>
        <v>7</v>
      </c>
      <c r="AQ71" s="28">
        <v>4</v>
      </c>
      <c r="AR71" s="29">
        <f>AP71*AQ71</f>
        <v>28</v>
      </c>
      <c r="AS71" s="16">
        <f>'[9]7th Subject'!$C18</f>
        <v>33</v>
      </c>
      <c r="AT71" s="16">
        <f>'[9]7th Subject'!$D18</f>
        <v>36</v>
      </c>
      <c r="AU71" s="27">
        <f>AT71+AS71</f>
        <v>69</v>
      </c>
      <c r="AV71" s="18" t="str">
        <f>IF(AU71&lt;50,"F",IF(AU71&lt;=54.99,"P",IF(AU71&lt;=59.99,"C",IF(AU71&lt;=64.99,"B",IF(AU71&lt;=69.99,"B+",IF(AU71&lt;=74.99,"A",IF(AU71&lt;=79.99,"A+","O")))))))</f>
        <v>B+</v>
      </c>
      <c r="AW71" s="18" t="str">
        <f>IF(AU71&lt;50,"0",IF(AU71&lt;=54.99,"4",IF(AU71&lt;=59.99,"5",IF(AU71&lt;=64.99,"6",IF(AU71&lt;=69.99,"7",IF(AU71&lt;=74.99,"8",IF(AU71&lt;=79.99,"9","10")))))))</f>
        <v>7</v>
      </c>
      <c r="AX71" s="28">
        <v>4</v>
      </c>
      <c r="AY71" s="29">
        <f>AW71*AX71</f>
        <v>28</v>
      </c>
      <c r="AZ71" s="22">
        <f>'[10]8th Subject'!$C18</f>
        <v>33</v>
      </c>
      <c r="BA71" s="22">
        <f>'[10]8th Subject'!$D18</f>
        <v>36</v>
      </c>
      <c r="BB71" s="27">
        <f>BA71+AZ71</f>
        <v>69</v>
      </c>
      <c r="BC71" s="18" t="str">
        <f>IF(BB71&lt;50,"F",IF(BB71&lt;=54.99,"P",IF(BB71&lt;=59.99,"C",IF(BB71&lt;=64.99,"B",IF(BB71&lt;=69.99,"B+",IF(BB71&lt;=74.99,"A",IF(BB71&lt;=79.99,"A+","O")))))))</f>
        <v>B+</v>
      </c>
      <c r="BD71" s="18" t="str">
        <f>IF(BB71&lt;50,"0",IF(BB71&lt;=54.99,"4",IF(BB71&lt;=59.99,"5",IF(BB71&lt;=64.99,"6",IF(BB71&lt;=69.99,"7",IF(BB71&lt;=74.99,"8",IF(BB71&lt;=79.99,"9","10")))))))</f>
        <v>7</v>
      </c>
      <c r="BE71" s="28">
        <v>4</v>
      </c>
      <c r="BF71" s="29">
        <f>BD71*BE71</f>
        <v>28</v>
      </c>
      <c r="BG71" s="27">
        <f>AZ71+AS71+AE71+X71+J71+C71+Q71+AL71</f>
        <v>264</v>
      </c>
      <c r="BH71" s="27">
        <f>BA71+AT71+AF71+Y71+K71+D71+R71+AM71</f>
        <v>288</v>
      </c>
      <c r="BI71" s="27">
        <f>BH71+BG71</f>
        <v>552</v>
      </c>
      <c r="BJ71" s="30">
        <f>G71+N71+U71+AB71+AI71+AP71+BD71+AW71</f>
        <v>56</v>
      </c>
      <c r="BK71" s="30">
        <f>I71+P71+W71+AD71+AK71+AY71+BF71+AR71</f>
        <v>224</v>
      </c>
      <c r="BL71" s="25">
        <f>(BN71-0.75)*10</f>
        <v>62.5</v>
      </c>
      <c r="BM71" s="17" t="str">
        <f>IF(OR(C71&lt;20,D71&lt;30,J71&lt;20,K71&lt;30,Q71&lt;20,R71&lt;30,X71&lt;20,Y71&lt;30,AE71&lt;20,AF71&lt;30,AL71&lt;20,AM71&lt;30,AS71&lt;20,AT71&lt;30,AZ71&lt;20,BA71&lt;30),"Unsuccessful","Successful")</f>
        <v>Successful</v>
      </c>
      <c r="BN71" s="31">
        <f>BK71/32</f>
        <v>7</v>
      </c>
      <c r="BO71" s="18" t="str">
        <f>IF(BN71&lt;=4,"F",IF(BN71&lt;=4.5,"P",IF(BN71&lt;=5.5,"C",IF(BN71&lt;=6.5,"B",IF(BN71&lt;=7.5,"B+",IF(BN71&lt;=8.5,"A",IF(BN71&lt;=9.5,"A+","O")))))))</f>
        <v>B+</v>
      </c>
      <c r="BP71" s="14" t="str">
        <f>IF(BN71&lt;=4,"50",IF(BN71&lt;=4.5,"50-54.99",IF(BN71&lt;=5.5,"55-59.99",IF(BN71&lt;=6.5,"60-64.99",IF(BN71&lt;=7.5,"65-69.99",IF(BN71&lt;=8.5,"70-74.99",IF(BN71&lt;=9.5,"75-79.99","10")))))))</f>
        <v>65-69.99</v>
      </c>
      <c r="BS71">
        <f>RANK(BN71,$BN$3:$BN$135)</f>
        <v>68</v>
      </c>
    </row>
    <row r="72" spans="1:71" x14ac:dyDescent="0.25">
      <c r="A72" s="14" t="str">
        <f>[2]Sheet1!$A22</f>
        <v>MMS18-20/021</v>
      </c>
      <c r="B72" s="15" t="str">
        <f>[2]Sheet1!$B22</f>
        <v>DESAI SAURABH HARESH HARSHADA</v>
      </c>
      <c r="C72" s="16">
        <f>'[3]1st Subject'!$C23</f>
        <v>31</v>
      </c>
      <c r="D72" s="16">
        <f>'[3]1st Subject'!$D23</f>
        <v>38</v>
      </c>
      <c r="E72" s="27">
        <f>D72+C72</f>
        <v>69</v>
      </c>
      <c r="F72" s="18" t="str">
        <f>IF(E72&lt;50,"F",IF(E72&lt;=54.99,"P",IF(E72&lt;=59.99,"C",IF(E72&lt;=64.99,"B",IF(E72&lt;=69.99,"B+",IF(E72&lt;=74.99,"A",IF(E72&lt;=79.99,"A+","O")))))))</f>
        <v>B+</v>
      </c>
      <c r="G72" s="18" t="str">
        <f>IF(E72&lt;50,"0",IF(E72&lt;=54.99,"4",IF(E72&lt;=59.99,"5",IF(E72&lt;=64.99,"6",IF(E72&lt;=69.99,"7",IF(E72&lt;=74.99,"8",IF(E72&lt;=79.99,"9","10")))))))</f>
        <v>7</v>
      </c>
      <c r="H72" s="28">
        <v>4</v>
      </c>
      <c r="I72" s="29">
        <f>G72*H72</f>
        <v>28</v>
      </c>
      <c r="J72" s="16">
        <f>'[4]2nd Subject'!$C23</f>
        <v>31</v>
      </c>
      <c r="K72" s="16">
        <f>'[4]2nd Subject'!$D23</f>
        <v>38</v>
      </c>
      <c r="L72" s="27">
        <f>K72+J72</f>
        <v>69</v>
      </c>
      <c r="M72" s="18" t="str">
        <f>IF(L72&lt;50,"F",IF(L72&lt;=54.99,"P",IF(L72&lt;=59.99,"C",IF(L72&lt;=64.99,"B",IF(L72&lt;=69.99,"B+",IF(L72&lt;=74.99,"A",IF(L72&lt;=79.99,"A+","O")))))))</f>
        <v>B+</v>
      </c>
      <c r="N72" s="18" t="str">
        <f>IF(L72&lt;50,"0",IF(L72&lt;=54.99,"4",IF(L72&lt;=59.99,"5",IF(L72&lt;=64.99,"6",IF(L72&lt;=69.99,"7",IF(L72&lt;=74.99,"8",IF(L72&lt;=79.99,"9","10")))))))</f>
        <v>7</v>
      </c>
      <c r="O72" s="28">
        <v>4</v>
      </c>
      <c r="P72" s="29">
        <f>N72*O72</f>
        <v>28</v>
      </c>
      <c r="Q72" s="21">
        <f>'[5]3rd Subject'!$C23</f>
        <v>31</v>
      </c>
      <c r="R72" s="21">
        <f>'[5]3rd Subject'!$D23</f>
        <v>38</v>
      </c>
      <c r="S72" s="27">
        <f>R72+Q72</f>
        <v>69</v>
      </c>
      <c r="T72" s="18" t="str">
        <f>IF(S72&lt;50,"F",IF(S72&lt;=54.99,"P",IF(S72&lt;=59.99,"C",IF(S72&lt;=64.99,"B",IF(S72&lt;=69.99,"B+",IF(S72&lt;=74.99,"A",IF(S72&lt;=79.99,"A+","O")))))))</f>
        <v>B+</v>
      </c>
      <c r="U72" s="18" t="str">
        <f>IF(S72&lt;50,"0",IF(S72&lt;=54.99,"4",IF(S72&lt;=59.99,"5",IF(S72&lt;=64.99,"6",IF(S72&lt;=69.99,"7",IF(S72&lt;=74.99,"8",IF(S72&lt;=79.99,"9","10")))))))</f>
        <v>7</v>
      </c>
      <c r="V72" s="28">
        <v>4</v>
      </c>
      <c r="W72" s="29">
        <f>U72*V72</f>
        <v>28</v>
      </c>
      <c r="X72" s="22">
        <f>'[6]4th Subject'!$C23</f>
        <v>31</v>
      </c>
      <c r="Y72" s="23">
        <f>'[6]4th Subject'!$D23</f>
        <v>38</v>
      </c>
      <c r="Z72" s="27">
        <f>Y72+X72</f>
        <v>69</v>
      </c>
      <c r="AA72" s="18" t="str">
        <f>IF(Z72&lt;50,"F",IF(Z72&lt;=54.99,"P",IF(Z72&lt;=59.99,"C",IF(Z72&lt;=64.99,"B",IF(Z72&lt;=69.99,"B+",IF(Z72&lt;=74.99,"A",IF(Z72&lt;=79.99,"A+","O")))))))</f>
        <v>B+</v>
      </c>
      <c r="AB72" s="18" t="str">
        <f>IF(Z72&lt;50,"0",IF(Z72&lt;=54.99,"4",IF(Z72&lt;=59.99,"5",IF(Z72&lt;=64.99,"6",IF(Z72&lt;=69.99,"7",IF(Z72&lt;=74.99,"8",IF(Z72&lt;=79.99,"9","10")))))))</f>
        <v>7</v>
      </c>
      <c r="AC72" s="28">
        <v>4</v>
      </c>
      <c r="AD72" s="29">
        <f>AB72*AC72</f>
        <v>28</v>
      </c>
      <c r="AE72" s="22">
        <f>'[7]5th Subject'!$C23</f>
        <v>31</v>
      </c>
      <c r="AF72" s="23">
        <f>'[7]5th Subject'!$D23</f>
        <v>38</v>
      </c>
      <c r="AG72" s="27">
        <f>AF72+AE72</f>
        <v>69</v>
      </c>
      <c r="AH72" s="18" t="str">
        <f>IF(AG72&lt;50,"F",IF(AG72&lt;=54.99,"P",IF(AG72&lt;=59.99,"C",IF(AG72&lt;=64.99,"B",IF(AG72&lt;=69.99,"B+",IF(AG72&lt;=74.99,"A",IF(AG72&lt;=79.99,"A+","O")))))))</f>
        <v>B+</v>
      </c>
      <c r="AI72" s="18" t="str">
        <f>IF(AG72&lt;50,"0",IF(AG72&lt;=54.99,"4",IF(AG72&lt;=59.99,"5",IF(AG72&lt;=64.99,"6",IF(AG72&lt;=69.99,"7",IF(AG72&lt;=74.99,"8",IF(AG72&lt;=79.99,"9","10")))))))</f>
        <v>7</v>
      </c>
      <c r="AJ72" s="28">
        <v>4</v>
      </c>
      <c r="AK72" s="29">
        <f>AI72*AJ72</f>
        <v>28</v>
      </c>
      <c r="AL72" s="22">
        <f>'[8]6th Subject'!$C23</f>
        <v>31</v>
      </c>
      <c r="AM72" s="22">
        <f>'[8]6th Subject'!$D23</f>
        <v>38</v>
      </c>
      <c r="AN72" s="27">
        <f>AM72+AL72</f>
        <v>69</v>
      </c>
      <c r="AO72" s="18" t="str">
        <f>IF(AN72&lt;50,"F",IF(AN72&lt;=54.99,"P",IF(AN72&lt;=59.99,"C",IF(AN72&lt;=64.99,"B",IF(AN72&lt;=69.99,"B+",IF(AN72&lt;=74.99,"A",IF(AN72&lt;=79.99,"A+","O")))))))</f>
        <v>B+</v>
      </c>
      <c r="AP72" s="18" t="str">
        <f>IF(AN72&lt;50,"0",IF(AN72&lt;=54.99,"4",IF(AN72&lt;=59.99,"5",IF(AN72&lt;=64.99,"6",IF(AN72&lt;=69.99,"7",IF(AN72&lt;=74.99,"8",IF(AN72&lt;=79.99,"9","10")))))))</f>
        <v>7</v>
      </c>
      <c r="AQ72" s="28">
        <v>4</v>
      </c>
      <c r="AR72" s="29">
        <f>AP72*AQ72</f>
        <v>28</v>
      </c>
      <c r="AS72" s="16">
        <f>'[9]7th Subject'!$C23</f>
        <v>31</v>
      </c>
      <c r="AT72" s="16">
        <f>'[9]7th Subject'!$D23</f>
        <v>38</v>
      </c>
      <c r="AU72" s="27">
        <f>AT72+AS72</f>
        <v>69</v>
      </c>
      <c r="AV72" s="18" t="str">
        <f>IF(AU72&lt;50,"F",IF(AU72&lt;=54.99,"P",IF(AU72&lt;=59.99,"C",IF(AU72&lt;=64.99,"B",IF(AU72&lt;=69.99,"B+",IF(AU72&lt;=74.99,"A",IF(AU72&lt;=79.99,"A+","O")))))))</f>
        <v>B+</v>
      </c>
      <c r="AW72" s="18" t="str">
        <f>IF(AU72&lt;50,"0",IF(AU72&lt;=54.99,"4",IF(AU72&lt;=59.99,"5",IF(AU72&lt;=64.99,"6",IF(AU72&lt;=69.99,"7",IF(AU72&lt;=74.99,"8",IF(AU72&lt;=79.99,"9","10")))))))</f>
        <v>7</v>
      </c>
      <c r="AX72" s="28">
        <v>4</v>
      </c>
      <c r="AY72" s="29">
        <f>AW72*AX72</f>
        <v>28</v>
      </c>
      <c r="AZ72" s="22">
        <f>'[10]8th Subject'!$C23</f>
        <v>31</v>
      </c>
      <c r="BA72" s="22">
        <f>'[10]8th Subject'!$D23</f>
        <v>38</v>
      </c>
      <c r="BB72" s="27">
        <f>BA72+AZ72</f>
        <v>69</v>
      </c>
      <c r="BC72" s="18" t="str">
        <f>IF(BB72&lt;50,"F",IF(BB72&lt;=54.99,"P",IF(BB72&lt;=59.99,"C",IF(BB72&lt;=64.99,"B",IF(BB72&lt;=69.99,"B+",IF(BB72&lt;=74.99,"A",IF(BB72&lt;=79.99,"A+","O")))))))</f>
        <v>B+</v>
      </c>
      <c r="BD72" s="18" t="str">
        <f>IF(BB72&lt;50,"0",IF(BB72&lt;=54.99,"4",IF(BB72&lt;=59.99,"5",IF(BB72&lt;=64.99,"6",IF(BB72&lt;=69.99,"7",IF(BB72&lt;=74.99,"8",IF(BB72&lt;=79.99,"9","10")))))))</f>
        <v>7</v>
      </c>
      <c r="BE72" s="28">
        <v>4</v>
      </c>
      <c r="BF72" s="29">
        <f>BD72*BE72</f>
        <v>28</v>
      </c>
      <c r="BG72" s="27">
        <f>AZ72+AS72+AE72+X72+J72+C72+Q72+AL72</f>
        <v>248</v>
      </c>
      <c r="BH72" s="27">
        <f>BA72+AT72+AF72+Y72+K72+D72+R72+AM72</f>
        <v>304</v>
      </c>
      <c r="BI72" s="27">
        <f>BH72+BG72</f>
        <v>552</v>
      </c>
      <c r="BJ72" s="30">
        <f>G72+N72+U72+AB72+AI72+AP72+BD72+AW72</f>
        <v>56</v>
      </c>
      <c r="BK72" s="30">
        <f>I72+P72+W72+AD72+AK72+AY72+BF72+AR72</f>
        <v>224</v>
      </c>
      <c r="BL72" s="25">
        <f>(BN72-0.75)*10</f>
        <v>62.5</v>
      </c>
      <c r="BM72" s="17" t="str">
        <f>IF(OR(C72&lt;20,D72&lt;30,J72&lt;20,K72&lt;30,Q72&lt;20,R72&lt;30,X72&lt;20,Y72&lt;30,AE72&lt;20,AF72&lt;30,AL72&lt;20,AM72&lt;30,AS72&lt;20,AT72&lt;30,AZ72&lt;20,BA72&lt;30),"Unsuccessful","Successful")</f>
        <v>Successful</v>
      </c>
      <c r="BN72" s="31">
        <f>BK72/32</f>
        <v>7</v>
      </c>
      <c r="BO72" s="18" t="str">
        <f>IF(BN72&lt;=4,"F",IF(BN72&lt;=4.5,"P",IF(BN72&lt;=5.5,"C",IF(BN72&lt;=6.5,"B",IF(BN72&lt;=7.5,"B+",IF(BN72&lt;=8.5,"A",IF(BN72&lt;=9.5,"A+","O")))))))</f>
        <v>B+</v>
      </c>
      <c r="BP72" s="14" t="str">
        <f>IF(BN72&lt;=4,"50",IF(BN72&lt;=4.5,"50-54.99",IF(BN72&lt;=5.5,"55-59.99",IF(BN72&lt;=6.5,"60-64.99",IF(BN72&lt;=7.5,"65-69.99",IF(BN72&lt;=8.5,"70-74.99",IF(BN72&lt;=9.5,"75-79.99","10")))))))</f>
        <v>65-69.99</v>
      </c>
      <c r="BS72">
        <f>RANK(BN72,$BN$3:$BN$135)</f>
        <v>68</v>
      </c>
    </row>
    <row r="73" spans="1:71" x14ac:dyDescent="0.25">
      <c r="A73" s="14" t="str">
        <f>[2]Sheet1!$A28</f>
        <v>MMS18-20/027</v>
      </c>
      <c r="B73" s="15" t="str">
        <f>[2]Sheet1!$B28</f>
        <v>/ERANDE TRUPTI UTTAM SUNITA</v>
      </c>
      <c r="C73" s="16">
        <f>'[3]1st Subject'!$C29</f>
        <v>33</v>
      </c>
      <c r="D73" s="16">
        <f>'[3]1st Subject'!$D29</f>
        <v>36</v>
      </c>
      <c r="E73" s="27">
        <f>D73+C73</f>
        <v>69</v>
      </c>
      <c r="F73" s="18" t="str">
        <f>IF(E73&lt;50,"F",IF(E73&lt;=54.99,"P",IF(E73&lt;=59.99,"C",IF(E73&lt;=64.99,"B",IF(E73&lt;=69.99,"B+",IF(E73&lt;=74.99,"A",IF(E73&lt;=79.99,"A+","O")))))))</f>
        <v>B+</v>
      </c>
      <c r="G73" s="18" t="str">
        <f>IF(E73&lt;50,"0",IF(E73&lt;=54.99,"4",IF(E73&lt;=59.99,"5",IF(E73&lt;=64.99,"6",IF(E73&lt;=69.99,"7",IF(E73&lt;=74.99,"8",IF(E73&lt;=79.99,"9","10")))))))</f>
        <v>7</v>
      </c>
      <c r="H73" s="28">
        <v>4</v>
      </c>
      <c r="I73" s="29">
        <f>G73*H73</f>
        <v>28</v>
      </c>
      <c r="J73" s="16">
        <f>'[4]2nd Subject'!$C29</f>
        <v>33</v>
      </c>
      <c r="K73" s="16">
        <f>'[4]2nd Subject'!$D29</f>
        <v>36</v>
      </c>
      <c r="L73" s="27">
        <f>K73+J73</f>
        <v>69</v>
      </c>
      <c r="M73" s="18" t="str">
        <f>IF(L73&lt;50,"F",IF(L73&lt;=54.99,"P",IF(L73&lt;=59.99,"C",IF(L73&lt;=64.99,"B",IF(L73&lt;=69.99,"B+",IF(L73&lt;=74.99,"A",IF(L73&lt;=79.99,"A+","O")))))))</f>
        <v>B+</v>
      </c>
      <c r="N73" s="18" t="str">
        <f>IF(L73&lt;50,"0",IF(L73&lt;=54.99,"4",IF(L73&lt;=59.99,"5",IF(L73&lt;=64.99,"6",IF(L73&lt;=69.99,"7",IF(L73&lt;=74.99,"8",IF(L73&lt;=79.99,"9","10")))))))</f>
        <v>7</v>
      </c>
      <c r="O73" s="28">
        <v>4</v>
      </c>
      <c r="P73" s="29">
        <f>N73*O73</f>
        <v>28</v>
      </c>
      <c r="Q73" s="21">
        <f>'[5]3rd Subject'!$C29</f>
        <v>33</v>
      </c>
      <c r="R73" s="21">
        <f>'[5]3rd Subject'!$D29</f>
        <v>36</v>
      </c>
      <c r="S73" s="27">
        <f>R73+Q73</f>
        <v>69</v>
      </c>
      <c r="T73" s="18" t="str">
        <f>IF(S73&lt;50,"F",IF(S73&lt;=54.99,"P",IF(S73&lt;=59.99,"C",IF(S73&lt;=64.99,"B",IF(S73&lt;=69.99,"B+",IF(S73&lt;=74.99,"A",IF(S73&lt;=79.99,"A+","O")))))))</f>
        <v>B+</v>
      </c>
      <c r="U73" s="18" t="str">
        <f>IF(S73&lt;50,"0",IF(S73&lt;=54.99,"4",IF(S73&lt;=59.99,"5",IF(S73&lt;=64.99,"6",IF(S73&lt;=69.99,"7",IF(S73&lt;=74.99,"8",IF(S73&lt;=79.99,"9","10")))))))</f>
        <v>7</v>
      </c>
      <c r="V73" s="28">
        <v>4</v>
      </c>
      <c r="W73" s="29">
        <f>U73*V73</f>
        <v>28</v>
      </c>
      <c r="X73" s="22">
        <f>'[6]4th Subject'!$C29</f>
        <v>33</v>
      </c>
      <c r="Y73" s="23">
        <f>'[6]4th Subject'!$D29</f>
        <v>36</v>
      </c>
      <c r="Z73" s="27">
        <f>Y73+X73</f>
        <v>69</v>
      </c>
      <c r="AA73" s="18" t="str">
        <f>IF(Z73&lt;50,"F",IF(Z73&lt;=54.99,"P",IF(Z73&lt;=59.99,"C",IF(Z73&lt;=64.99,"B",IF(Z73&lt;=69.99,"B+",IF(Z73&lt;=74.99,"A",IF(Z73&lt;=79.99,"A+","O")))))))</f>
        <v>B+</v>
      </c>
      <c r="AB73" s="18" t="str">
        <f>IF(Z73&lt;50,"0",IF(Z73&lt;=54.99,"4",IF(Z73&lt;=59.99,"5",IF(Z73&lt;=64.99,"6",IF(Z73&lt;=69.99,"7",IF(Z73&lt;=74.99,"8",IF(Z73&lt;=79.99,"9","10")))))))</f>
        <v>7</v>
      </c>
      <c r="AC73" s="28">
        <v>4</v>
      </c>
      <c r="AD73" s="29">
        <f>AB73*AC73</f>
        <v>28</v>
      </c>
      <c r="AE73" s="22">
        <f>'[7]5th Subject'!$C29</f>
        <v>33</v>
      </c>
      <c r="AF73" s="23">
        <f>'[7]5th Subject'!$D29</f>
        <v>36</v>
      </c>
      <c r="AG73" s="27">
        <f>AF73+AE73</f>
        <v>69</v>
      </c>
      <c r="AH73" s="18" t="str">
        <f>IF(AG73&lt;50,"F",IF(AG73&lt;=54.99,"P",IF(AG73&lt;=59.99,"C",IF(AG73&lt;=64.99,"B",IF(AG73&lt;=69.99,"B+",IF(AG73&lt;=74.99,"A",IF(AG73&lt;=79.99,"A+","O")))))))</f>
        <v>B+</v>
      </c>
      <c r="AI73" s="18" t="str">
        <f>IF(AG73&lt;50,"0",IF(AG73&lt;=54.99,"4",IF(AG73&lt;=59.99,"5",IF(AG73&lt;=64.99,"6",IF(AG73&lt;=69.99,"7",IF(AG73&lt;=74.99,"8",IF(AG73&lt;=79.99,"9","10")))))))</f>
        <v>7</v>
      </c>
      <c r="AJ73" s="28">
        <v>4</v>
      </c>
      <c r="AK73" s="29">
        <f>AI73*AJ73</f>
        <v>28</v>
      </c>
      <c r="AL73" s="22">
        <f>'[8]6th Subject'!$C29</f>
        <v>33</v>
      </c>
      <c r="AM73" s="22">
        <f>'[8]6th Subject'!$D29</f>
        <v>36</v>
      </c>
      <c r="AN73" s="27">
        <f>AM73+AL73</f>
        <v>69</v>
      </c>
      <c r="AO73" s="18" t="str">
        <f>IF(AN73&lt;50,"F",IF(AN73&lt;=54.99,"P",IF(AN73&lt;=59.99,"C",IF(AN73&lt;=64.99,"B",IF(AN73&lt;=69.99,"B+",IF(AN73&lt;=74.99,"A",IF(AN73&lt;=79.99,"A+","O")))))))</f>
        <v>B+</v>
      </c>
      <c r="AP73" s="18" t="str">
        <f>IF(AN73&lt;50,"0",IF(AN73&lt;=54.99,"4",IF(AN73&lt;=59.99,"5",IF(AN73&lt;=64.99,"6",IF(AN73&lt;=69.99,"7",IF(AN73&lt;=74.99,"8",IF(AN73&lt;=79.99,"9","10")))))))</f>
        <v>7</v>
      </c>
      <c r="AQ73" s="28">
        <v>4</v>
      </c>
      <c r="AR73" s="29">
        <f>AP73*AQ73</f>
        <v>28</v>
      </c>
      <c r="AS73" s="16">
        <f>'[9]7th Subject'!$C29</f>
        <v>33</v>
      </c>
      <c r="AT73" s="16">
        <f>'[9]7th Subject'!$D29</f>
        <v>36</v>
      </c>
      <c r="AU73" s="27">
        <f>AT73+AS73</f>
        <v>69</v>
      </c>
      <c r="AV73" s="18" t="str">
        <f>IF(AU73&lt;50,"F",IF(AU73&lt;=54.99,"P",IF(AU73&lt;=59.99,"C",IF(AU73&lt;=64.99,"B",IF(AU73&lt;=69.99,"B+",IF(AU73&lt;=74.99,"A",IF(AU73&lt;=79.99,"A+","O")))))))</f>
        <v>B+</v>
      </c>
      <c r="AW73" s="18" t="str">
        <f>IF(AU73&lt;50,"0",IF(AU73&lt;=54.99,"4",IF(AU73&lt;=59.99,"5",IF(AU73&lt;=64.99,"6",IF(AU73&lt;=69.99,"7",IF(AU73&lt;=74.99,"8",IF(AU73&lt;=79.99,"9","10")))))))</f>
        <v>7</v>
      </c>
      <c r="AX73" s="28">
        <v>4</v>
      </c>
      <c r="AY73" s="29">
        <f>AW73*AX73</f>
        <v>28</v>
      </c>
      <c r="AZ73" s="22">
        <f>'[10]8th Subject'!$C29</f>
        <v>33</v>
      </c>
      <c r="BA73" s="22">
        <f>'[10]8th Subject'!$D29</f>
        <v>36</v>
      </c>
      <c r="BB73" s="27">
        <f>BA73+AZ73</f>
        <v>69</v>
      </c>
      <c r="BC73" s="18" t="str">
        <f>IF(BB73&lt;50,"F",IF(BB73&lt;=54.99,"P",IF(BB73&lt;=59.99,"C",IF(BB73&lt;=64.99,"B",IF(BB73&lt;=69.99,"B+",IF(BB73&lt;=74.99,"A",IF(BB73&lt;=79.99,"A+","O")))))))</f>
        <v>B+</v>
      </c>
      <c r="BD73" s="18" t="str">
        <f>IF(BB73&lt;50,"0",IF(BB73&lt;=54.99,"4",IF(BB73&lt;=59.99,"5",IF(BB73&lt;=64.99,"6",IF(BB73&lt;=69.99,"7",IF(BB73&lt;=74.99,"8",IF(BB73&lt;=79.99,"9","10")))))))</f>
        <v>7</v>
      </c>
      <c r="BE73" s="28">
        <v>4</v>
      </c>
      <c r="BF73" s="29">
        <f>BD73*BE73</f>
        <v>28</v>
      </c>
      <c r="BG73" s="27">
        <f>AZ73+AS73+AE73+X73+J73+C73+Q73+AL73</f>
        <v>264</v>
      </c>
      <c r="BH73" s="27">
        <f>BA73+AT73+AF73+Y73+K73+D73+R73+AM73</f>
        <v>288</v>
      </c>
      <c r="BI73" s="27">
        <f>BH73+BG73</f>
        <v>552</v>
      </c>
      <c r="BJ73" s="30">
        <f>G73+N73+U73+AB73+AI73+AP73+BD73+AW73</f>
        <v>56</v>
      </c>
      <c r="BK73" s="30">
        <f>I73+P73+W73+AD73+AK73+AY73+BF73+AR73</f>
        <v>224</v>
      </c>
      <c r="BL73" s="25">
        <f>(BN73-0.75)*10</f>
        <v>62.5</v>
      </c>
      <c r="BM73" s="17" t="str">
        <f>IF(OR(C73&lt;20,D73&lt;30,J73&lt;20,K73&lt;30,Q73&lt;20,R73&lt;30,X73&lt;20,Y73&lt;30,AE73&lt;20,AF73&lt;30,AL73&lt;20,AM73&lt;30,AS73&lt;20,AT73&lt;30,AZ73&lt;20,BA73&lt;30),"Unsuccessful","Successful")</f>
        <v>Successful</v>
      </c>
      <c r="BN73" s="31">
        <f>BK73/32</f>
        <v>7</v>
      </c>
      <c r="BO73" s="18" t="str">
        <f>IF(BN73&lt;=4,"F",IF(BN73&lt;=4.5,"P",IF(BN73&lt;=5.5,"C",IF(BN73&lt;=6.5,"B",IF(BN73&lt;=7.5,"B+",IF(BN73&lt;=8.5,"A",IF(BN73&lt;=9.5,"A+","O")))))))</f>
        <v>B+</v>
      </c>
      <c r="BP73" s="14" t="str">
        <f>IF(BN73&lt;=4,"50",IF(BN73&lt;=4.5,"50-54.99",IF(BN73&lt;=5.5,"55-59.99",IF(BN73&lt;=6.5,"60-64.99",IF(BN73&lt;=7.5,"65-69.99",IF(BN73&lt;=8.5,"70-74.99",IF(BN73&lt;=9.5,"75-79.99","10")))))))</f>
        <v>65-69.99</v>
      </c>
      <c r="BS73">
        <f>RANK(BN73,$BN$3:$BN$135)</f>
        <v>68</v>
      </c>
    </row>
    <row r="74" spans="1:71" x14ac:dyDescent="0.25">
      <c r="A74" s="14" t="str">
        <f>[2]Sheet1!$A33</f>
        <v>MMS18-20/032</v>
      </c>
      <c r="B74" s="15" t="str">
        <f>[2]Sheet1!$B33</f>
        <v>GUPTA NITIN RAJESH CHANDRAKALA</v>
      </c>
      <c r="C74" s="16">
        <f>'[3]1st Subject'!$C34</f>
        <v>31</v>
      </c>
      <c r="D74" s="16">
        <f>'[3]1st Subject'!$D34</f>
        <v>38</v>
      </c>
      <c r="E74" s="27">
        <f>D74+C74</f>
        <v>69</v>
      </c>
      <c r="F74" s="18" t="str">
        <f>IF(E74&lt;50,"F",IF(E74&lt;=54.99,"P",IF(E74&lt;=59.99,"C",IF(E74&lt;=64.99,"B",IF(E74&lt;=69.99,"B+",IF(E74&lt;=74.99,"A",IF(E74&lt;=79.99,"A+","O")))))))</f>
        <v>B+</v>
      </c>
      <c r="G74" s="18" t="str">
        <f>IF(E74&lt;50,"0",IF(E74&lt;=54.99,"4",IF(E74&lt;=59.99,"5",IF(E74&lt;=64.99,"6",IF(E74&lt;=69.99,"7",IF(E74&lt;=74.99,"8",IF(E74&lt;=79.99,"9","10")))))))</f>
        <v>7</v>
      </c>
      <c r="H74" s="28">
        <v>4</v>
      </c>
      <c r="I74" s="29">
        <f>G74*H74</f>
        <v>28</v>
      </c>
      <c r="J74" s="16">
        <f>'[4]2nd Subject'!$C34</f>
        <v>31</v>
      </c>
      <c r="K74" s="16">
        <f>'[4]2nd Subject'!$D34</f>
        <v>38</v>
      </c>
      <c r="L74" s="27">
        <f>K74+J74</f>
        <v>69</v>
      </c>
      <c r="M74" s="18" t="str">
        <f>IF(L74&lt;50,"F",IF(L74&lt;=54.99,"P",IF(L74&lt;=59.99,"C",IF(L74&lt;=64.99,"B",IF(L74&lt;=69.99,"B+",IF(L74&lt;=74.99,"A",IF(L74&lt;=79.99,"A+","O")))))))</f>
        <v>B+</v>
      </c>
      <c r="N74" s="18" t="str">
        <f>IF(L74&lt;50,"0",IF(L74&lt;=54.99,"4",IF(L74&lt;=59.99,"5",IF(L74&lt;=64.99,"6",IF(L74&lt;=69.99,"7",IF(L74&lt;=74.99,"8",IF(L74&lt;=79.99,"9","10")))))))</f>
        <v>7</v>
      </c>
      <c r="O74" s="28">
        <v>4</v>
      </c>
      <c r="P74" s="29">
        <f>N74*O74</f>
        <v>28</v>
      </c>
      <c r="Q74" s="21">
        <f>'[5]3rd Subject'!$C34</f>
        <v>31</v>
      </c>
      <c r="R74" s="21">
        <f>'[5]3rd Subject'!$D34</f>
        <v>38</v>
      </c>
      <c r="S74" s="27">
        <f>R74+Q74</f>
        <v>69</v>
      </c>
      <c r="T74" s="18" t="str">
        <f>IF(S74&lt;50,"F",IF(S74&lt;=54.99,"P",IF(S74&lt;=59.99,"C",IF(S74&lt;=64.99,"B",IF(S74&lt;=69.99,"B+",IF(S74&lt;=74.99,"A",IF(S74&lt;=79.99,"A+","O")))))))</f>
        <v>B+</v>
      </c>
      <c r="U74" s="18" t="str">
        <f>IF(S74&lt;50,"0",IF(S74&lt;=54.99,"4",IF(S74&lt;=59.99,"5",IF(S74&lt;=64.99,"6",IF(S74&lt;=69.99,"7",IF(S74&lt;=74.99,"8",IF(S74&lt;=79.99,"9","10")))))))</f>
        <v>7</v>
      </c>
      <c r="V74" s="28">
        <v>4</v>
      </c>
      <c r="W74" s="29">
        <f>U74*V74</f>
        <v>28</v>
      </c>
      <c r="X74" s="22">
        <f>'[6]4th Subject'!$C34</f>
        <v>31</v>
      </c>
      <c r="Y74" s="23">
        <f>'[6]4th Subject'!$D34</f>
        <v>38</v>
      </c>
      <c r="Z74" s="27">
        <f>Y74+X74</f>
        <v>69</v>
      </c>
      <c r="AA74" s="18" t="str">
        <f>IF(Z74&lt;50,"F",IF(Z74&lt;=54.99,"P",IF(Z74&lt;=59.99,"C",IF(Z74&lt;=64.99,"B",IF(Z74&lt;=69.99,"B+",IF(Z74&lt;=74.99,"A",IF(Z74&lt;=79.99,"A+","O")))))))</f>
        <v>B+</v>
      </c>
      <c r="AB74" s="18" t="str">
        <f>IF(Z74&lt;50,"0",IF(Z74&lt;=54.99,"4",IF(Z74&lt;=59.99,"5",IF(Z74&lt;=64.99,"6",IF(Z74&lt;=69.99,"7",IF(Z74&lt;=74.99,"8",IF(Z74&lt;=79.99,"9","10")))))))</f>
        <v>7</v>
      </c>
      <c r="AC74" s="28">
        <v>4</v>
      </c>
      <c r="AD74" s="29">
        <f>AB74*AC74</f>
        <v>28</v>
      </c>
      <c r="AE74" s="22">
        <f>'[7]5th Subject'!$C34</f>
        <v>31</v>
      </c>
      <c r="AF74" s="23">
        <f>'[7]5th Subject'!$D34</f>
        <v>38</v>
      </c>
      <c r="AG74" s="27">
        <f>AF74+AE74</f>
        <v>69</v>
      </c>
      <c r="AH74" s="18" t="str">
        <f>IF(AG74&lt;50,"F",IF(AG74&lt;=54.99,"P",IF(AG74&lt;=59.99,"C",IF(AG74&lt;=64.99,"B",IF(AG74&lt;=69.99,"B+",IF(AG74&lt;=74.99,"A",IF(AG74&lt;=79.99,"A+","O")))))))</f>
        <v>B+</v>
      </c>
      <c r="AI74" s="18" t="str">
        <f>IF(AG74&lt;50,"0",IF(AG74&lt;=54.99,"4",IF(AG74&lt;=59.99,"5",IF(AG74&lt;=64.99,"6",IF(AG74&lt;=69.99,"7",IF(AG74&lt;=74.99,"8",IF(AG74&lt;=79.99,"9","10")))))))</f>
        <v>7</v>
      </c>
      <c r="AJ74" s="28">
        <v>4</v>
      </c>
      <c r="AK74" s="29">
        <f>AI74*AJ74</f>
        <v>28</v>
      </c>
      <c r="AL74" s="22">
        <f>'[8]6th Subject'!$C34</f>
        <v>31</v>
      </c>
      <c r="AM74" s="22">
        <f>'[8]6th Subject'!$D34</f>
        <v>38</v>
      </c>
      <c r="AN74" s="27">
        <f>AM74+AL74</f>
        <v>69</v>
      </c>
      <c r="AO74" s="18" t="str">
        <f>IF(AN74&lt;50,"F",IF(AN74&lt;=54.99,"P",IF(AN74&lt;=59.99,"C",IF(AN74&lt;=64.99,"B",IF(AN74&lt;=69.99,"B+",IF(AN74&lt;=74.99,"A",IF(AN74&lt;=79.99,"A+","O")))))))</f>
        <v>B+</v>
      </c>
      <c r="AP74" s="18" t="str">
        <f>IF(AN74&lt;50,"0",IF(AN74&lt;=54.99,"4",IF(AN74&lt;=59.99,"5",IF(AN74&lt;=64.99,"6",IF(AN74&lt;=69.99,"7",IF(AN74&lt;=74.99,"8",IF(AN74&lt;=79.99,"9","10")))))))</f>
        <v>7</v>
      </c>
      <c r="AQ74" s="28">
        <v>4</v>
      </c>
      <c r="AR74" s="29">
        <f>AP74*AQ74</f>
        <v>28</v>
      </c>
      <c r="AS74" s="16">
        <f>'[9]7th Subject'!$C34</f>
        <v>31</v>
      </c>
      <c r="AT74" s="16">
        <f>'[9]7th Subject'!$D34</f>
        <v>38</v>
      </c>
      <c r="AU74" s="27">
        <f>AT74+AS74</f>
        <v>69</v>
      </c>
      <c r="AV74" s="18" t="str">
        <f>IF(AU74&lt;50,"F",IF(AU74&lt;=54.99,"P",IF(AU74&lt;=59.99,"C",IF(AU74&lt;=64.99,"B",IF(AU74&lt;=69.99,"B+",IF(AU74&lt;=74.99,"A",IF(AU74&lt;=79.99,"A+","O")))))))</f>
        <v>B+</v>
      </c>
      <c r="AW74" s="18" t="str">
        <f>IF(AU74&lt;50,"0",IF(AU74&lt;=54.99,"4",IF(AU74&lt;=59.99,"5",IF(AU74&lt;=64.99,"6",IF(AU74&lt;=69.99,"7",IF(AU74&lt;=74.99,"8",IF(AU74&lt;=79.99,"9","10")))))))</f>
        <v>7</v>
      </c>
      <c r="AX74" s="28">
        <v>4</v>
      </c>
      <c r="AY74" s="29">
        <f>AW74*AX74</f>
        <v>28</v>
      </c>
      <c r="AZ74" s="22">
        <f>'[10]8th Subject'!$C34</f>
        <v>31</v>
      </c>
      <c r="BA74" s="22">
        <f>'[10]8th Subject'!$D34</f>
        <v>38</v>
      </c>
      <c r="BB74" s="27">
        <f>BA74+AZ74</f>
        <v>69</v>
      </c>
      <c r="BC74" s="18" t="str">
        <f>IF(BB74&lt;50,"F",IF(BB74&lt;=54.99,"P",IF(BB74&lt;=59.99,"C",IF(BB74&lt;=64.99,"B",IF(BB74&lt;=69.99,"B+",IF(BB74&lt;=74.99,"A",IF(BB74&lt;=79.99,"A+","O")))))))</f>
        <v>B+</v>
      </c>
      <c r="BD74" s="18" t="str">
        <f>IF(BB74&lt;50,"0",IF(BB74&lt;=54.99,"4",IF(BB74&lt;=59.99,"5",IF(BB74&lt;=64.99,"6",IF(BB74&lt;=69.99,"7",IF(BB74&lt;=74.99,"8",IF(BB74&lt;=79.99,"9","10")))))))</f>
        <v>7</v>
      </c>
      <c r="BE74" s="28">
        <v>4</v>
      </c>
      <c r="BF74" s="29">
        <f>BD74*BE74</f>
        <v>28</v>
      </c>
      <c r="BG74" s="27">
        <f>AZ74+AS74+AE74+X74+J74+C74+Q74+AL74</f>
        <v>248</v>
      </c>
      <c r="BH74" s="27">
        <f>BA74+AT74+AF74+Y74+K74+D74+R74+AM74</f>
        <v>304</v>
      </c>
      <c r="BI74" s="27">
        <f>BH74+BG74</f>
        <v>552</v>
      </c>
      <c r="BJ74" s="30">
        <f>G74+N74+U74+AB74+AI74+AP74+BD74+AW74</f>
        <v>56</v>
      </c>
      <c r="BK74" s="30">
        <f>I74+P74+W74+AD74+AK74+AY74+BF74+AR74</f>
        <v>224</v>
      </c>
      <c r="BL74" s="25">
        <f>(BN74-0.75)*10</f>
        <v>62.5</v>
      </c>
      <c r="BM74" s="17" t="str">
        <f>IF(OR(C74&lt;20,D74&lt;30,J74&lt;20,K74&lt;30,Q74&lt;20,R74&lt;30,X74&lt;20,Y74&lt;30,AE74&lt;20,AF74&lt;30,AL74&lt;20,AM74&lt;30,AS74&lt;20,AT74&lt;30,AZ74&lt;20,BA74&lt;30),"Unsuccessful","Successful")</f>
        <v>Successful</v>
      </c>
      <c r="BN74" s="31">
        <f>BK74/32</f>
        <v>7</v>
      </c>
      <c r="BO74" s="18" t="str">
        <f>IF(BN74&lt;=4,"F",IF(BN74&lt;=4.5,"P",IF(BN74&lt;=5.5,"C",IF(BN74&lt;=6.5,"B",IF(BN74&lt;=7.5,"B+",IF(BN74&lt;=8.5,"A",IF(BN74&lt;=9.5,"A+","O")))))))</f>
        <v>B+</v>
      </c>
      <c r="BP74" s="14" t="str">
        <f>IF(BN74&lt;=4,"50",IF(BN74&lt;=4.5,"50-54.99",IF(BN74&lt;=5.5,"55-59.99",IF(BN74&lt;=6.5,"60-64.99",IF(BN74&lt;=7.5,"65-69.99",IF(BN74&lt;=8.5,"70-74.99",IF(BN74&lt;=9.5,"75-79.99","10")))))))</f>
        <v>65-69.99</v>
      </c>
      <c r="BS74">
        <f>RANK(BN74,$BN$3:$BN$135)</f>
        <v>68</v>
      </c>
    </row>
    <row r="75" spans="1:71" x14ac:dyDescent="0.25">
      <c r="A75" s="14" t="str">
        <f>[2]Sheet1!$A39</f>
        <v>MMS18-20/038</v>
      </c>
      <c r="B75" s="15" t="str">
        <f>[2]Sheet1!$B39</f>
        <v>KADAM SHANTANU DILEEP ANITA</v>
      </c>
      <c r="C75" s="16">
        <f>'[3]1st Subject'!$C40</f>
        <v>33</v>
      </c>
      <c r="D75" s="16">
        <f>'[3]1st Subject'!$D40</f>
        <v>36</v>
      </c>
      <c r="E75" s="27">
        <f>D75+C75</f>
        <v>69</v>
      </c>
      <c r="F75" s="18" t="str">
        <f>IF(E75&lt;50,"F",IF(E75&lt;=54.99,"P",IF(E75&lt;=59.99,"C",IF(E75&lt;=64.99,"B",IF(E75&lt;=69.99,"B+",IF(E75&lt;=74.99,"A",IF(E75&lt;=79.99,"A+","O")))))))</f>
        <v>B+</v>
      </c>
      <c r="G75" s="18" t="str">
        <f>IF(E75&lt;50,"0",IF(E75&lt;=54.99,"4",IF(E75&lt;=59.99,"5",IF(E75&lt;=64.99,"6",IF(E75&lt;=69.99,"7",IF(E75&lt;=74.99,"8",IF(E75&lt;=79.99,"9","10")))))))</f>
        <v>7</v>
      </c>
      <c r="H75" s="28">
        <v>4</v>
      </c>
      <c r="I75" s="29">
        <f>G75*H75</f>
        <v>28</v>
      </c>
      <c r="J75" s="16">
        <f>'[4]2nd Subject'!$C40</f>
        <v>33</v>
      </c>
      <c r="K75" s="16">
        <f>'[4]2nd Subject'!$D40</f>
        <v>36</v>
      </c>
      <c r="L75" s="27">
        <f>K75+J75</f>
        <v>69</v>
      </c>
      <c r="M75" s="18" t="str">
        <f>IF(L75&lt;50,"F",IF(L75&lt;=54.99,"P",IF(L75&lt;=59.99,"C",IF(L75&lt;=64.99,"B",IF(L75&lt;=69.99,"B+",IF(L75&lt;=74.99,"A",IF(L75&lt;=79.99,"A+","O")))))))</f>
        <v>B+</v>
      </c>
      <c r="N75" s="18" t="str">
        <f>IF(L75&lt;50,"0",IF(L75&lt;=54.99,"4",IF(L75&lt;=59.99,"5",IF(L75&lt;=64.99,"6",IF(L75&lt;=69.99,"7",IF(L75&lt;=74.99,"8",IF(L75&lt;=79.99,"9","10")))))))</f>
        <v>7</v>
      </c>
      <c r="O75" s="28">
        <v>4</v>
      </c>
      <c r="P75" s="29">
        <f>N75*O75</f>
        <v>28</v>
      </c>
      <c r="Q75" s="21">
        <f>'[5]3rd Subject'!$C40</f>
        <v>33</v>
      </c>
      <c r="R75" s="21">
        <f>'[5]3rd Subject'!$D40</f>
        <v>36</v>
      </c>
      <c r="S75" s="27">
        <f>R75+Q75</f>
        <v>69</v>
      </c>
      <c r="T75" s="18" t="str">
        <f>IF(S75&lt;50,"F",IF(S75&lt;=54.99,"P",IF(S75&lt;=59.99,"C",IF(S75&lt;=64.99,"B",IF(S75&lt;=69.99,"B+",IF(S75&lt;=74.99,"A",IF(S75&lt;=79.99,"A+","O")))))))</f>
        <v>B+</v>
      </c>
      <c r="U75" s="18" t="str">
        <f>IF(S75&lt;50,"0",IF(S75&lt;=54.99,"4",IF(S75&lt;=59.99,"5",IF(S75&lt;=64.99,"6",IF(S75&lt;=69.99,"7",IF(S75&lt;=74.99,"8",IF(S75&lt;=79.99,"9","10")))))))</f>
        <v>7</v>
      </c>
      <c r="V75" s="28">
        <v>4</v>
      </c>
      <c r="W75" s="29">
        <f>U75*V75</f>
        <v>28</v>
      </c>
      <c r="X75" s="22">
        <f>'[6]4th Subject'!$C40</f>
        <v>33</v>
      </c>
      <c r="Y75" s="23">
        <f>'[6]4th Subject'!$D40</f>
        <v>36</v>
      </c>
      <c r="Z75" s="27">
        <f>Y75+X75</f>
        <v>69</v>
      </c>
      <c r="AA75" s="18" t="str">
        <f>IF(Z75&lt;50,"F",IF(Z75&lt;=54.99,"P",IF(Z75&lt;=59.99,"C",IF(Z75&lt;=64.99,"B",IF(Z75&lt;=69.99,"B+",IF(Z75&lt;=74.99,"A",IF(Z75&lt;=79.99,"A+","O")))))))</f>
        <v>B+</v>
      </c>
      <c r="AB75" s="18" t="str">
        <f>IF(Z75&lt;50,"0",IF(Z75&lt;=54.99,"4",IF(Z75&lt;=59.99,"5",IF(Z75&lt;=64.99,"6",IF(Z75&lt;=69.99,"7",IF(Z75&lt;=74.99,"8",IF(Z75&lt;=79.99,"9","10")))))))</f>
        <v>7</v>
      </c>
      <c r="AC75" s="28">
        <v>4</v>
      </c>
      <c r="AD75" s="29">
        <f>AB75*AC75</f>
        <v>28</v>
      </c>
      <c r="AE75" s="22">
        <f>'[7]5th Subject'!$C40</f>
        <v>33</v>
      </c>
      <c r="AF75" s="23">
        <f>'[7]5th Subject'!$D40</f>
        <v>36</v>
      </c>
      <c r="AG75" s="27">
        <f>AF75+AE75</f>
        <v>69</v>
      </c>
      <c r="AH75" s="18" t="str">
        <f>IF(AG75&lt;50,"F",IF(AG75&lt;=54.99,"P",IF(AG75&lt;=59.99,"C",IF(AG75&lt;=64.99,"B",IF(AG75&lt;=69.99,"B+",IF(AG75&lt;=74.99,"A",IF(AG75&lt;=79.99,"A+","O")))))))</f>
        <v>B+</v>
      </c>
      <c r="AI75" s="18" t="str">
        <f>IF(AG75&lt;50,"0",IF(AG75&lt;=54.99,"4",IF(AG75&lt;=59.99,"5",IF(AG75&lt;=64.99,"6",IF(AG75&lt;=69.99,"7",IF(AG75&lt;=74.99,"8",IF(AG75&lt;=79.99,"9","10")))))))</f>
        <v>7</v>
      </c>
      <c r="AJ75" s="28">
        <v>4</v>
      </c>
      <c r="AK75" s="29">
        <f>AI75*AJ75</f>
        <v>28</v>
      </c>
      <c r="AL75" s="22">
        <f>'[8]6th Subject'!$C40</f>
        <v>33</v>
      </c>
      <c r="AM75" s="22">
        <f>'[8]6th Subject'!$D40</f>
        <v>36</v>
      </c>
      <c r="AN75" s="27">
        <f>AM75+AL75</f>
        <v>69</v>
      </c>
      <c r="AO75" s="18" t="str">
        <f>IF(AN75&lt;50,"F",IF(AN75&lt;=54.99,"P",IF(AN75&lt;=59.99,"C",IF(AN75&lt;=64.99,"B",IF(AN75&lt;=69.99,"B+",IF(AN75&lt;=74.99,"A",IF(AN75&lt;=79.99,"A+","O")))))))</f>
        <v>B+</v>
      </c>
      <c r="AP75" s="18" t="str">
        <f>IF(AN75&lt;50,"0",IF(AN75&lt;=54.99,"4",IF(AN75&lt;=59.99,"5",IF(AN75&lt;=64.99,"6",IF(AN75&lt;=69.99,"7",IF(AN75&lt;=74.99,"8",IF(AN75&lt;=79.99,"9","10")))))))</f>
        <v>7</v>
      </c>
      <c r="AQ75" s="28">
        <v>4</v>
      </c>
      <c r="AR75" s="29">
        <f>AP75*AQ75</f>
        <v>28</v>
      </c>
      <c r="AS75" s="16">
        <f>'[9]7th Subject'!$C40</f>
        <v>33</v>
      </c>
      <c r="AT75" s="16">
        <f>'[9]7th Subject'!$D40</f>
        <v>36</v>
      </c>
      <c r="AU75" s="27">
        <f>AT75+AS75</f>
        <v>69</v>
      </c>
      <c r="AV75" s="18" t="str">
        <f>IF(AU75&lt;50,"F",IF(AU75&lt;=54.99,"P",IF(AU75&lt;=59.99,"C",IF(AU75&lt;=64.99,"B",IF(AU75&lt;=69.99,"B+",IF(AU75&lt;=74.99,"A",IF(AU75&lt;=79.99,"A+","O")))))))</f>
        <v>B+</v>
      </c>
      <c r="AW75" s="18" t="str">
        <f>IF(AU75&lt;50,"0",IF(AU75&lt;=54.99,"4",IF(AU75&lt;=59.99,"5",IF(AU75&lt;=64.99,"6",IF(AU75&lt;=69.99,"7",IF(AU75&lt;=74.99,"8",IF(AU75&lt;=79.99,"9","10")))))))</f>
        <v>7</v>
      </c>
      <c r="AX75" s="28">
        <v>4</v>
      </c>
      <c r="AY75" s="29">
        <f>AW75*AX75</f>
        <v>28</v>
      </c>
      <c r="AZ75" s="22">
        <f>'[10]8th Subject'!$C40</f>
        <v>33</v>
      </c>
      <c r="BA75" s="22">
        <f>'[10]8th Subject'!$D40</f>
        <v>36</v>
      </c>
      <c r="BB75" s="27">
        <f>BA75+AZ75</f>
        <v>69</v>
      </c>
      <c r="BC75" s="18" t="str">
        <f>IF(BB75&lt;50,"F",IF(BB75&lt;=54.99,"P",IF(BB75&lt;=59.99,"C",IF(BB75&lt;=64.99,"B",IF(BB75&lt;=69.99,"B+",IF(BB75&lt;=74.99,"A",IF(BB75&lt;=79.99,"A+","O")))))))</f>
        <v>B+</v>
      </c>
      <c r="BD75" s="18" t="str">
        <f>IF(BB75&lt;50,"0",IF(BB75&lt;=54.99,"4",IF(BB75&lt;=59.99,"5",IF(BB75&lt;=64.99,"6",IF(BB75&lt;=69.99,"7",IF(BB75&lt;=74.99,"8",IF(BB75&lt;=79.99,"9","10")))))))</f>
        <v>7</v>
      </c>
      <c r="BE75" s="28">
        <v>4</v>
      </c>
      <c r="BF75" s="29">
        <f>BD75*BE75</f>
        <v>28</v>
      </c>
      <c r="BG75" s="27">
        <f>AZ75+AS75+AE75+X75+J75+C75+Q75+AL75</f>
        <v>264</v>
      </c>
      <c r="BH75" s="27">
        <f>BA75+AT75+AF75+Y75+K75+D75+R75+AM75</f>
        <v>288</v>
      </c>
      <c r="BI75" s="27">
        <f>BH75+BG75</f>
        <v>552</v>
      </c>
      <c r="BJ75" s="30">
        <f>G75+N75+U75+AB75+AI75+AP75+BD75+AW75</f>
        <v>56</v>
      </c>
      <c r="BK75" s="30">
        <f>I75+P75+W75+AD75+AK75+AY75+BF75+AR75</f>
        <v>224</v>
      </c>
      <c r="BL75" s="25">
        <f>(BN75-0.75)*10</f>
        <v>62.5</v>
      </c>
      <c r="BM75" s="17" t="str">
        <f>IF(OR(C75&lt;20,D75&lt;30,J75&lt;20,K75&lt;30,Q75&lt;20,R75&lt;30,X75&lt;20,Y75&lt;30,AE75&lt;20,AF75&lt;30,AL75&lt;20,AM75&lt;30,AS75&lt;20,AT75&lt;30,AZ75&lt;20,BA75&lt;30),"Unsuccessful","Successful")</f>
        <v>Successful</v>
      </c>
      <c r="BN75" s="31">
        <f>BK75/32</f>
        <v>7</v>
      </c>
      <c r="BO75" s="18" t="str">
        <f>IF(BN75&lt;=4,"F",IF(BN75&lt;=4.5,"P",IF(BN75&lt;=5.5,"C",IF(BN75&lt;=6.5,"B",IF(BN75&lt;=7.5,"B+",IF(BN75&lt;=8.5,"A",IF(BN75&lt;=9.5,"A+","O")))))))</f>
        <v>B+</v>
      </c>
      <c r="BP75" s="14" t="str">
        <f>IF(BN75&lt;=4,"50",IF(BN75&lt;=4.5,"50-54.99",IF(BN75&lt;=5.5,"55-59.99",IF(BN75&lt;=6.5,"60-64.99",IF(BN75&lt;=7.5,"65-69.99",IF(BN75&lt;=8.5,"70-74.99",IF(BN75&lt;=9.5,"75-79.99","10")))))))</f>
        <v>65-69.99</v>
      </c>
      <c r="BS75">
        <f>RANK(BN75,$BN$3:$BN$135)</f>
        <v>68</v>
      </c>
    </row>
    <row r="76" spans="1:71" x14ac:dyDescent="0.25">
      <c r="A76" s="14" t="str">
        <f>[2]Sheet1!$A50</f>
        <v>MMS18-20/049</v>
      </c>
      <c r="B76" s="15" t="str">
        <f>[2]Sheet1!$B50</f>
        <v xml:space="preserve">/LOKE TEJAL JITENDRA GEETA </v>
      </c>
      <c r="C76" s="16">
        <f>'[3]1st Subject'!$C51</f>
        <v>33</v>
      </c>
      <c r="D76" s="16">
        <f>'[3]1st Subject'!$D51</f>
        <v>36</v>
      </c>
      <c r="E76" s="27">
        <f>D76+C76</f>
        <v>69</v>
      </c>
      <c r="F76" s="18" t="str">
        <f>IF(E76&lt;50,"F",IF(E76&lt;=54.99,"P",IF(E76&lt;=59.99,"C",IF(E76&lt;=64.99,"B",IF(E76&lt;=69.99,"B+",IF(E76&lt;=74.99,"A",IF(E76&lt;=79.99,"A+","O")))))))</f>
        <v>B+</v>
      </c>
      <c r="G76" s="18" t="str">
        <f>IF(E76&lt;50,"0",IF(E76&lt;=54.99,"4",IF(E76&lt;=59.99,"5",IF(E76&lt;=64.99,"6",IF(E76&lt;=69.99,"7",IF(E76&lt;=74.99,"8",IF(E76&lt;=79.99,"9","10")))))))</f>
        <v>7</v>
      </c>
      <c r="H76" s="28">
        <v>4</v>
      </c>
      <c r="I76" s="29">
        <f>G76*H76</f>
        <v>28</v>
      </c>
      <c r="J76" s="16">
        <f>'[4]2nd Subject'!$C51</f>
        <v>33</v>
      </c>
      <c r="K76" s="16">
        <f>'[4]2nd Subject'!$D51</f>
        <v>36</v>
      </c>
      <c r="L76" s="27">
        <f>K76+J76</f>
        <v>69</v>
      </c>
      <c r="M76" s="18" t="str">
        <f>IF(L76&lt;50,"F",IF(L76&lt;=54.99,"P",IF(L76&lt;=59.99,"C",IF(L76&lt;=64.99,"B",IF(L76&lt;=69.99,"B+",IF(L76&lt;=74.99,"A",IF(L76&lt;=79.99,"A+","O")))))))</f>
        <v>B+</v>
      </c>
      <c r="N76" s="18" t="str">
        <f>IF(L76&lt;50,"0",IF(L76&lt;=54.99,"4",IF(L76&lt;=59.99,"5",IF(L76&lt;=64.99,"6",IF(L76&lt;=69.99,"7",IF(L76&lt;=74.99,"8",IF(L76&lt;=79.99,"9","10")))))))</f>
        <v>7</v>
      </c>
      <c r="O76" s="28">
        <v>4</v>
      </c>
      <c r="P76" s="29">
        <f>N76*O76</f>
        <v>28</v>
      </c>
      <c r="Q76" s="21">
        <f>'[5]3rd Subject'!$C51</f>
        <v>33</v>
      </c>
      <c r="R76" s="21">
        <f>'[5]3rd Subject'!$D51</f>
        <v>36</v>
      </c>
      <c r="S76" s="27">
        <f>R76+Q76</f>
        <v>69</v>
      </c>
      <c r="T76" s="18" t="str">
        <f>IF(S76&lt;50,"F",IF(S76&lt;=54.99,"P",IF(S76&lt;=59.99,"C",IF(S76&lt;=64.99,"B",IF(S76&lt;=69.99,"B+",IF(S76&lt;=74.99,"A",IF(S76&lt;=79.99,"A+","O")))))))</f>
        <v>B+</v>
      </c>
      <c r="U76" s="18" t="str">
        <f>IF(S76&lt;50,"0",IF(S76&lt;=54.99,"4",IF(S76&lt;=59.99,"5",IF(S76&lt;=64.99,"6",IF(S76&lt;=69.99,"7",IF(S76&lt;=74.99,"8",IF(S76&lt;=79.99,"9","10")))))))</f>
        <v>7</v>
      </c>
      <c r="V76" s="28">
        <v>4</v>
      </c>
      <c r="W76" s="29">
        <f>U76*V76</f>
        <v>28</v>
      </c>
      <c r="X76" s="22">
        <f>'[6]4th Subject'!$C51</f>
        <v>33</v>
      </c>
      <c r="Y76" s="23">
        <f>'[6]4th Subject'!$D51</f>
        <v>36</v>
      </c>
      <c r="Z76" s="27">
        <f>Y76+X76</f>
        <v>69</v>
      </c>
      <c r="AA76" s="18" t="str">
        <f>IF(Z76&lt;50,"F",IF(Z76&lt;=54.99,"P",IF(Z76&lt;=59.99,"C",IF(Z76&lt;=64.99,"B",IF(Z76&lt;=69.99,"B+",IF(Z76&lt;=74.99,"A",IF(Z76&lt;=79.99,"A+","O")))))))</f>
        <v>B+</v>
      </c>
      <c r="AB76" s="18" t="str">
        <f>IF(Z76&lt;50,"0",IF(Z76&lt;=54.99,"4",IF(Z76&lt;=59.99,"5",IF(Z76&lt;=64.99,"6",IF(Z76&lt;=69.99,"7",IF(Z76&lt;=74.99,"8",IF(Z76&lt;=79.99,"9","10")))))))</f>
        <v>7</v>
      </c>
      <c r="AC76" s="28">
        <v>4</v>
      </c>
      <c r="AD76" s="29">
        <f>AB76*AC76</f>
        <v>28</v>
      </c>
      <c r="AE76" s="22">
        <f>'[7]5th Subject'!$C51</f>
        <v>33</v>
      </c>
      <c r="AF76" s="23">
        <f>'[7]5th Subject'!$D51</f>
        <v>36</v>
      </c>
      <c r="AG76" s="27">
        <f>AF76+AE76</f>
        <v>69</v>
      </c>
      <c r="AH76" s="18" t="str">
        <f>IF(AG76&lt;50,"F",IF(AG76&lt;=54.99,"P",IF(AG76&lt;=59.99,"C",IF(AG76&lt;=64.99,"B",IF(AG76&lt;=69.99,"B+",IF(AG76&lt;=74.99,"A",IF(AG76&lt;=79.99,"A+","O")))))))</f>
        <v>B+</v>
      </c>
      <c r="AI76" s="18" t="str">
        <f>IF(AG76&lt;50,"0",IF(AG76&lt;=54.99,"4",IF(AG76&lt;=59.99,"5",IF(AG76&lt;=64.99,"6",IF(AG76&lt;=69.99,"7",IF(AG76&lt;=74.99,"8",IF(AG76&lt;=79.99,"9","10")))))))</f>
        <v>7</v>
      </c>
      <c r="AJ76" s="28">
        <v>4</v>
      </c>
      <c r="AK76" s="29">
        <f>AI76*AJ76</f>
        <v>28</v>
      </c>
      <c r="AL76" s="22">
        <f>'[8]6th Subject'!$C51</f>
        <v>33</v>
      </c>
      <c r="AM76" s="22">
        <f>'[8]6th Subject'!$D51</f>
        <v>36</v>
      </c>
      <c r="AN76" s="27">
        <f>AM76+AL76</f>
        <v>69</v>
      </c>
      <c r="AO76" s="18" t="str">
        <f>IF(AN76&lt;50,"F",IF(AN76&lt;=54.99,"P",IF(AN76&lt;=59.99,"C",IF(AN76&lt;=64.99,"B",IF(AN76&lt;=69.99,"B+",IF(AN76&lt;=74.99,"A",IF(AN76&lt;=79.99,"A+","O")))))))</f>
        <v>B+</v>
      </c>
      <c r="AP76" s="18" t="str">
        <f>IF(AN76&lt;50,"0",IF(AN76&lt;=54.99,"4",IF(AN76&lt;=59.99,"5",IF(AN76&lt;=64.99,"6",IF(AN76&lt;=69.99,"7",IF(AN76&lt;=74.99,"8",IF(AN76&lt;=79.99,"9","10")))))))</f>
        <v>7</v>
      </c>
      <c r="AQ76" s="28">
        <v>4</v>
      </c>
      <c r="AR76" s="29">
        <f>AP76*AQ76</f>
        <v>28</v>
      </c>
      <c r="AS76" s="16">
        <f>'[9]7th Subject'!$C51</f>
        <v>33</v>
      </c>
      <c r="AT76" s="16">
        <f>'[9]7th Subject'!$D51</f>
        <v>36</v>
      </c>
      <c r="AU76" s="27">
        <f>AT76+AS76</f>
        <v>69</v>
      </c>
      <c r="AV76" s="18" t="str">
        <f>IF(AU76&lt;50,"F",IF(AU76&lt;=54.99,"P",IF(AU76&lt;=59.99,"C",IF(AU76&lt;=64.99,"B",IF(AU76&lt;=69.99,"B+",IF(AU76&lt;=74.99,"A",IF(AU76&lt;=79.99,"A+","O")))))))</f>
        <v>B+</v>
      </c>
      <c r="AW76" s="18" t="str">
        <f>IF(AU76&lt;50,"0",IF(AU76&lt;=54.99,"4",IF(AU76&lt;=59.99,"5",IF(AU76&lt;=64.99,"6",IF(AU76&lt;=69.99,"7",IF(AU76&lt;=74.99,"8",IF(AU76&lt;=79.99,"9","10")))))))</f>
        <v>7</v>
      </c>
      <c r="AX76" s="28">
        <v>4</v>
      </c>
      <c r="AY76" s="29">
        <f>AW76*AX76</f>
        <v>28</v>
      </c>
      <c r="AZ76" s="22">
        <f>'[10]8th Subject'!$C51</f>
        <v>33</v>
      </c>
      <c r="BA76" s="22">
        <f>'[10]8th Subject'!$D51</f>
        <v>36</v>
      </c>
      <c r="BB76" s="27">
        <f>BA76+AZ76</f>
        <v>69</v>
      </c>
      <c r="BC76" s="18" t="str">
        <f>IF(BB76&lt;50,"F",IF(BB76&lt;=54.99,"P",IF(BB76&lt;=59.99,"C",IF(BB76&lt;=64.99,"B",IF(BB76&lt;=69.99,"B+",IF(BB76&lt;=74.99,"A",IF(BB76&lt;=79.99,"A+","O")))))))</f>
        <v>B+</v>
      </c>
      <c r="BD76" s="18" t="str">
        <f>IF(BB76&lt;50,"0",IF(BB76&lt;=54.99,"4",IF(BB76&lt;=59.99,"5",IF(BB76&lt;=64.99,"6",IF(BB76&lt;=69.99,"7",IF(BB76&lt;=74.99,"8",IF(BB76&lt;=79.99,"9","10")))))))</f>
        <v>7</v>
      </c>
      <c r="BE76" s="28">
        <v>4</v>
      </c>
      <c r="BF76" s="29">
        <f>BD76*BE76</f>
        <v>28</v>
      </c>
      <c r="BG76" s="27">
        <f>AZ76+AS76+AE76+X76+J76+C76+Q76+AL76</f>
        <v>264</v>
      </c>
      <c r="BH76" s="27">
        <f>BA76+AT76+AF76+Y76+K76+D76+R76+AM76</f>
        <v>288</v>
      </c>
      <c r="BI76" s="27">
        <f>BH76+BG76</f>
        <v>552</v>
      </c>
      <c r="BJ76" s="30">
        <f>G76+N76+U76+AB76+AI76+AP76+BD76+AW76</f>
        <v>56</v>
      </c>
      <c r="BK76" s="30">
        <f>I76+P76+W76+AD76+AK76+AY76+BF76+AR76</f>
        <v>224</v>
      </c>
      <c r="BL76" s="25">
        <f>(BN76-0.75)*10</f>
        <v>62.5</v>
      </c>
      <c r="BM76" s="17" t="str">
        <f>IF(OR(C76&lt;20,D76&lt;30,J76&lt;20,K76&lt;30,Q76&lt;20,R76&lt;30,X76&lt;20,Y76&lt;30,AE76&lt;20,AF76&lt;30,AL76&lt;20,AM76&lt;30,AS76&lt;20,AT76&lt;30,AZ76&lt;20,BA76&lt;30),"Unsuccessful","Successful")</f>
        <v>Successful</v>
      </c>
      <c r="BN76" s="31">
        <f>BK76/32</f>
        <v>7</v>
      </c>
      <c r="BO76" s="18" t="str">
        <f>IF(BN76&lt;=4,"F",IF(BN76&lt;=4.5,"P",IF(BN76&lt;=5.5,"C",IF(BN76&lt;=6.5,"B",IF(BN76&lt;=7.5,"B+",IF(BN76&lt;=8.5,"A",IF(BN76&lt;=9.5,"A+","O")))))))</f>
        <v>B+</v>
      </c>
      <c r="BP76" s="14" t="str">
        <f>IF(BN76&lt;=4,"50",IF(BN76&lt;=4.5,"50-54.99",IF(BN76&lt;=5.5,"55-59.99",IF(BN76&lt;=6.5,"60-64.99",IF(BN76&lt;=7.5,"65-69.99",IF(BN76&lt;=8.5,"70-74.99",IF(BN76&lt;=9.5,"75-79.99","10")))))))</f>
        <v>65-69.99</v>
      </c>
      <c r="BS76">
        <f>RANK(BN76,$BN$3:$BN$135)</f>
        <v>68</v>
      </c>
    </row>
    <row r="77" spans="1:71" x14ac:dyDescent="0.25">
      <c r="A77" s="14" t="str">
        <f>[2]Sheet1!$A55</f>
        <v>MMS18-20/054</v>
      </c>
      <c r="B77" s="15" t="str">
        <f>[2]Sheet1!$B55</f>
        <v>/NAIR ANAGHA ANANDKUMAR BHANUMATHI</v>
      </c>
      <c r="C77" s="16">
        <f>'[3]1st Subject'!$C56</f>
        <v>31</v>
      </c>
      <c r="D77" s="16">
        <f>'[3]1st Subject'!$D56</f>
        <v>38</v>
      </c>
      <c r="E77" s="27">
        <f>D77+C77</f>
        <v>69</v>
      </c>
      <c r="F77" s="18" t="str">
        <f>IF(E77&lt;50,"F",IF(E77&lt;=54.99,"P",IF(E77&lt;=59.99,"C",IF(E77&lt;=64.99,"B",IF(E77&lt;=69.99,"B+",IF(E77&lt;=74.99,"A",IF(E77&lt;=79.99,"A+","O")))))))</f>
        <v>B+</v>
      </c>
      <c r="G77" s="18" t="str">
        <f>IF(E77&lt;50,"0",IF(E77&lt;=54.99,"4",IF(E77&lt;=59.99,"5",IF(E77&lt;=64.99,"6",IF(E77&lt;=69.99,"7",IF(E77&lt;=74.99,"8",IF(E77&lt;=79.99,"9","10")))))))</f>
        <v>7</v>
      </c>
      <c r="H77" s="28">
        <v>4</v>
      </c>
      <c r="I77" s="29">
        <f>G77*H77</f>
        <v>28</v>
      </c>
      <c r="J77" s="16">
        <f>'[4]2nd Subject'!$C56</f>
        <v>31</v>
      </c>
      <c r="K77" s="16">
        <f>'[4]2nd Subject'!$D56</f>
        <v>38</v>
      </c>
      <c r="L77" s="27">
        <f>K77+J77</f>
        <v>69</v>
      </c>
      <c r="M77" s="18" t="str">
        <f>IF(L77&lt;50,"F",IF(L77&lt;=54.99,"P",IF(L77&lt;=59.99,"C",IF(L77&lt;=64.99,"B",IF(L77&lt;=69.99,"B+",IF(L77&lt;=74.99,"A",IF(L77&lt;=79.99,"A+","O")))))))</f>
        <v>B+</v>
      </c>
      <c r="N77" s="18" t="str">
        <f>IF(L77&lt;50,"0",IF(L77&lt;=54.99,"4",IF(L77&lt;=59.99,"5",IF(L77&lt;=64.99,"6",IF(L77&lt;=69.99,"7",IF(L77&lt;=74.99,"8",IF(L77&lt;=79.99,"9","10")))))))</f>
        <v>7</v>
      </c>
      <c r="O77" s="28">
        <v>4</v>
      </c>
      <c r="P77" s="29">
        <f>N77*O77</f>
        <v>28</v>
      </c>
      <c r="Q77" s="21">
        <f>'[5]3rd Subject'!$C56</f>
        <v>31</v>
      </c>
      <c r="R77" s="21">
        <f>'[5]3rd Subject'!$D56</f>
        <v>38</v>
      </c>
      <c r="S77" s="27">
        <f>R77+Q77</f>
        <v>69</v>
      </c>
      <c r="T77" s="18" t="str">
        <f>IF(S77&lt;50,"F",IF(S77&lt;=54.99,"P",IF(S77&lt;=59.99,"C",IF(S77&lt;=64.99,"B",IF(S77&lt;=69.99,"B+",IF(S77&lt;=74.99,"A",IF(S77&lt;=79.99,"A+","O")))))))</f>
        <v>B+</v>
      </c>
      <c r="U77" s="18" t="str">
        <f>IF(S77&lt;50,"0",IF(S77&lt;=54.99,"4",IF(S77&lt;=59.99,"5",IF(S77&lt;=64.99,"6",IF(S77&lt;=69.99,"7",IF(S77&lt;=74.99,"8",IF(S77&lt;=79.99,"9","10")))))))</f>
        <v>7</v>
      </c>
      <c r="V77" s="28">
        <v>4</v>
      </c>
      <c r="W77" s="29">
        <f>U77*V77</f>
        <v>28</v>
      </c>
      <c r="X77" s="22">
        <f>'[6]4th Subject'!$C56</f>
        <v>31</v>
      </c>
      <c r="Y77" s="23">
        <f>'[6]4th Subject'!$D56</f>
        <v>38</v>
      </c>
      <c r="Z77" s="27">
        <f>Y77+X77</f>
        <v>69</v>
      </c>
      <c r="AA77" s="18" t="str">
        <f>IF(Z77&lt;50,"F",IF(Z77&lt;=54.99,"P",IF(Z77&lt;=59.99,"C",IF(Z77&lt;=64.99,"B",IF(Z77&lt;=69.99,"B+",IF(Z77&lt;=74.99,"A",IF(Z77&lt;=79.99,"A+","O")))))))</f>
        <v>B+</v>
      </c>
      <c r="AB77" s="18" t="str">
        <f>IF(Z77&lt;50,"0",IF(Z77&lt;=54.99,"4",IF(Z77&lt;=59.99,"5",IF(Z77&lt;=64.99,"6",IF(Z77&lt;=69.99,"7",IF(Z77&lt;=74.99,"8",IF(Z77&lt;=79.99,"9","10")))))))</f>
        <v>7</v>
      </c>
      <c r="AC77" s="28">
        <v>4</v>
      </c>
      <c r="AD77" s="29">
        <f>AB77*AC77</f>
        <v>28</v>
      </c>
      <c r="AE77" s="22">
        <f>'[7]5th Subject'!$C56</f>
        <v>31</v>
      </c>
      <c r="AF77" s="23">
        <f>'[7]5th Subject'!$D56</f>
        <v>38</v>
      </c>
      <c r="AG77" s="27">
        <f>AF77+AE77</f>
        <v>69</v>
      </c>
      <c r="AH77" s="18" t="str">
        <f>IF(AG77&lt;50,"F",IF(AG77&lt;=54.99,"P",IF(AG77&lt;=59.99,"C",IF(AG77&lt;=64.99,"B",IF(AG77&lt;=69.99,"B+",IF(AG77&lt;=74.99,"A",IF(AG77&lt;=79.99,"A+","O")))))))</f>
        <v>B+</v>
      </c>
      <c r="AI77" s="18" t="str">
        <f>IF(AG77&lt;50,"0",IF(AG77&lt;=54.99,"4",IF(AG77&lt;=59.99,"5",IF(AG77&lt;=64.99,"6",IF(AG77&lt;=69.99,"7",IF(AG77&lt;=74.99,"8",IF(AG77&lt;=79.99,"9","10")))))))</f>
        <v>7</v>
      </c>
      <c r="AJ77" s="28">
        <v>4</v>
      </c>
      <c r="AK77" s="29">
        <f>AI77*AJ77</f>
        <v>28</v>
      </c>
      <c r="AL77" s="22">
        <f>'[8]6th Subject'!$C56</f>
        <v>31</v>
      </c>
      <c r="AM77" s="22">
        <f>'[8]6th Subject'!$D56</f>
        <v>38</v>
      </c>
      <c r="AN77" s="27">
        <f>AM77+AL77</f>
        <v>69</v>
      </c>
      <c r="AO77" s="18" t="str">
        <f>IF(AN77&lt;50,"F",IF(AN77&lt;=54.99,"P",IF(AN77&lt;=59.99,"C",IF(AN77&lt;=64.99,"B",IF(AN77&lt;=69.99,"B+",IF(AN77&lt;=74.99,"A",IF(AN77&lt;=79.99,"A+","O")))))))</f>
        <v>B+</v>
      </c>
      <c r="AP77" s="18" t="str">
        <f>IF(AN77&lt;50,"0",IF(AN77&lt;=54.99,"4",IF(AN77&lt;=59.99,"5",IF(AN77&lt;=64.99,"6",IF(AN77&lt;=69.99,"7",IF(AN77&lt;=74.99,"8",IF(AN77&lt;=79.99,"9","10")))))))</f>
        <v>7</v>
      </c>
      <c r="AQ77" s="28">
        <v>4</v>
      </c>
      <c r="AR77" s="29">
        <f>AP77*AQ77</f>
        <v>28</v>
      </c>
      <c r="AS77" s="16">
        <f>'[9]7th Subject'!$C56</f>
        <v>31</v>
      </c>
      <c r="AT77" s="16">
        <f>'[9]7th Subject'!$D56</f>
        <v>38</v>
      </c>
      <c r="AU77" s="27">
        <f>AT77+AS77</f>
        <v>69</v>
      </c>
      <c r="AV77" s="18" t="str">
        <f>IF(AU77&lt;50,"F",IF(AU77&lt;=54.99,"P",IF(AU77&lt;=59.99,"C",IF(AU77&lt;=64.99,"B",IF(AU77&lt;=69.99,"B+",IF(AU77&lt;=74.99,"A",IF(AU77&lt;=79.99,"A+","O")))))))</f>
        <v>B+</v>
      </c>
      <c r="AW77" s="18" t="str">
        <f>IF(AU77&lt;50,"0",IF(AU77&lt;=54.99,"4",IF(AU77&lt;=59.99,"5",IF(AU77&lt;=64.99,"6",IF(AU77&lt;=69.99,"7",IF(AU77&lt;=74.99,"8",IF(AU77&lt;=79.99,"9","10")))))))</f>
        <v>7</v>
      </c>
      <c r="AX77" s="28">
        <v>4</v>
      </c>
      <c r="AY77" s="29">
        <f>AW77*AX77</f>
        <v>28</v>
      </c>
      <c r="AZ77" s="22">
        <f>'[10]8th Subject'!$C56</f>
        <v>31</v>
      </c>
      <c r="BA77" s="22">
        <f>'[10]8th Subject'!$D56</f>
        <v>38</v>
      </c>
      <c r="BB77" s="27">
        <f>BA77+AZ77</f>
        <v>69</v>
      </c>
      <c r="BC77" s="18" t="str">
        <f>IF(BB77&lt;50,"F",IF(BB77&lt;=54.99,"P",IF(BB77&lt;=59.99,"C",IF(BB77&lt;=64.99,"B",IF(BB77&lt;=69.99,"B+",IF(BB77&lt;=74.99,"A",IF(BB77&lt;=79.99,"A+","O")))))))</f>
        <v>B+</v>
      </c>
      <c r="BD77" s="18" t="str">
        <f>IF(BB77&lt;50,"0",IF(BB77&lt;=54.99,"4",IF(BB77&lt;=59.99,"5",IF(BB77&lt;=64.99,"6",IF(BB77&lt;=69.99,"7",IF(BB77&lt;=74.99,"8",IF(BB77&lt;=79.99,"9","10")))))))</f>
        <v>7</v>
      </c>
      <c r="BE77" s="28">
        <v>4</v>
      </c>
      <c r="BF77" s="29">
        <f>BD77*BE77</f>
        <v>28</v>
      </c>
      <c r="BG77" s="27">
        <f>AZ77+AS77+AE77+X77+J77+C77+Q77+AL77</f>
        <v>248</v>
      </c>
      <c r="BH77" s="27">
        <f>BA77+AT77+AF77+Y77+K77+D77+R77+AM77</f>
        <v>304</v>
      </c>
      <c r="BI77" s="27">
        <f>BH77+BG77</f>
        <v>552</v>
      </c>
      <c r="BJ77" s="30">
        <f>G77+N77+U77+AB77+AI77+AP77+BD77+AW77</f>
        <v>56</v>
      </c>
      <c r="BK77" s="30">
        <f>I77+P77+W77+AD77+AK77+AY77+BF77+AR77</f>
        <v>224</v>
      </c>
      <c r="BL77" s="25">
        <f>(BN77-0.75)*10</f>
        <v>62.5</v>
      </c>
      <c r="BM77" s="17" t="str">
        <f>IF(OR(C77&lt;20,D77&lt;30,J77&lt;20,K77&lt;30,Q77&lt;20,R77&lt;30,X77&lt;20,Y77&lt;30,AE77&lt;20,AF77&lt;30,AL77&lt;20,AM77&lt;30,AS77&lt;20,AT77&lt;30,AZ77&lt;20,BA77&lt;30),"Unsuccessful","Successful")</f>
        <v>Successful</v>
      </c>
      <c r="BN77" s="31">
        <f>BK77/32</f>
        <v>7</v>
      </c>
      <c r="BO77" s="18" t="str">
        <f>IF(BN77&lt;=4,"F",IF(BN77&lt;=4.5,"P",IF(BN77&lt;=5.5,"C",IF(BN77&lt;=6.5,"B",IF(BN77&lt;=7.5,"B+",IF(BN77&lt;=8.5,"A",IF(BN77&lt;=9.5,"A+","O")))))))</f>
        <v>B+</v>
      </c>
      <c r="BP77" s="14" t="str">
        <f>IF(BN77&lt;=4,"50",IF(BN77&lt;=4.5,"50-54.99",IF(BN77&lt;=5.5,"55-59.99",IF(BN77&lt;=6.5,"60-64.99",IF(BN77&lt;=7.5,"65-69.99",IF(BN77&lt;=8.5,"70-74.99",IF(BN77&lt;=9.5,"75-79.99","10")))))))</f>
        <v>65-69.99</v>
      </c>
      <c r="BS77">
        <f>RANK(BN77,$BN$3:$BN$135)</f>
        <v>68</v>
      </c>
    </row>
    <row r="78" spans="1:71" x14ac:dyDescent="0.25">
      <c r="A78" s="14" t="str">
        <f>[2]Sheet1!$A61</f>
        <v>MMS18-20/060</v>
      </c>
      <c r="B78" s="15" t="str">
        <f>[2]Sheet1!$B61</f>
        <v>WORLIKAR SIDDHANT PANKAJ VIDYA</v>
      </c>
      <c r="C78" s="16">
        <f>'[3]1st Subject'!$C62</f>
        <v>33</v>
      </c>
      <c r="D78" s="16">
        <f>'[3]1st Subject'!$D62</f>
        <v>36</v>
      </c>
      <c r="E78" s="27">
        <f>D78+C78</f>
        <v>69</v>
      </c>
      <c r="F78" s="18" t="str">
        <f>IF(E78&lt;50,"F",IF(E78&lt;=54.99,"P",IF(E78&lt;=59.99,"C",IF(E78&lt;=64.99,"B",IF(E78&lt;=69.99,"B+",IF(E78&lt;=74.99,"A",IF(E78&lt;=79.99,"A+","O")))))))</f>
        <v>B+</v>
      </c>
      <c r="G78" s="18" t="str">
        <f>IF(E78&lt;50,"0",IF(E78&lt;=54.99,"4",IF(E78&lt;=59.99,"5",IF(E78&lt;=64.99,"6",IF(E78&lt;=69.99,"7",IF(E78&lt;=74.99,"8",IF(E78&lt;=79.99,"9","10")))))))</f>
        <v>7</v>
      </c>
      <c r="H78" s="28">
        <v>4</v>
      </c>
      <c r="I78" s="29">
        <f>G78*H78</f>
        <v>28</v>
      </c>
      <c r="J78" s="16">
        <f>'[4]2nd Subject'!$C62</f>
        <v>33</v>
      </c>
      <c r="K78" s="16">
        <f>'[4]2nd Subject'!$D62</f>
        <v>36</v>
      </c>
      <c r="L78" s="27">
        <f>K78+J78</f>
        <v>69</v>
      </c>
      <c r="M78" s="18" t="str">
        <f>IF(L78&lt;50,"F",IF(L78&lt;=54.99,"P",IF(L78&lt;=59.99,"C",IF(L78&lt;=64.99,"B",IF(L78&lt;=69.99,"B+",IF(L78&lt;=74.99,"A",IF(L78&lt;=79.99,"A+","O")))))))</f>
        <v>B+</v>
      </c>
      <c r="N78" s="18" t="str">
        <f>IF(L78&lt;50,"0",IF(L78&lt;=54.99,"4",IF(L78&lt;=59.99,"5",IF(L78&lt;=64.99,"6",IF(L78&lt;=69.99,"7",IF(L78&lt;=74.99,"8",IF(L78&lt;=79.99,"9","10")))))))</f>
        <v>7</v>
      </c>
      <c r="O78" s="28">
        <v>4</v>
      </c>
      <c r="P78" s="29">
        <f>N78*O78</f>
        <v>28</v>
      </c>
      <c r="Q78" s="21">
        <f>'[5]3rd Subject'!$C62</f>
        <v>33</v>
      </c>
      <c r="R78" s="21">
        <f>'[5]3rd Subject'!$D62</f>
        <v>36</v>
      </c>
      <c r="S78" s="27">
        <f>R78+Q78</f>
        <v>69</v>
      </c>
      <c r="T78" s="18" t="str">
        <f>IF(S78&lt;50,"F",IF(S78&lt;=54.99,"P",IF(S78&lt;=59.99,"C",IF(S78&lt;=64.99,"B",IF(S78&lt;=69.99,"B+",IF(S78&lt;=74.99,"A",IF(S78&lt;=79.99,"A+","O")))))))</f>
        <v>B+</v>
      </c>
      <c r="U78" s="18" t="str">
        <f>IF(S78&lt;50,"0",IF(S78&lt;=54.99,"4",IF(S78&lt;=59.99,"5",IF(S78&lt;=64.99,"6",IF(S78&lt;=69.99,"7",IF(S78&lt;=74.99,"8",IF(S78&lt;=79.99,"9","10")))))))</f>
        <v>7</v>
      </c>
      <c r="V78" s="28">
        <v>4</v>
      </c>
      <c r="W78" s="29">
        <f>U78*V78</f>
        <v>28</v>
      </c>
      <c r="X78" s="22">
        <f>'[6]4th Subject'!$C62</f>
        <v>33</v>
      </c>
      <c r="Y78" s="23">
        <f>'[6]4th Subject'!$D62</f>
        <v>36</v>
      </c>
      <c r="Z78" s="27">
        <f>Y78+X78</f>
        <v>69</v>
      </c>
      <c r="AA78" s="18" t="str">
        <f>IF(Z78&lt;50,"F",IF(Z78&lt;=54.99,"P",IF(Z78&lt;=59.99,"C",IF(Z78&lt;=64.99,"B",IF(Z78&lt;=69.99,"B+",IF(Z78&lt;=74.99,"A",IF(Z78&lt;=79.99,"A+","O")))))))</f>
        <v>B+</v>
      </c>
      <c r="AB78" s="18" t="str">
        <f>IF(Z78&lt;50,"0",IF(Z78&lt;=54.99,"4",IF(Z78&lt;=59.99,"5",IF(Z78&lt;=64.99,"6",IF(Z78&lt;=69.99,"7",IF(Z78&lt;=74.99,"8",IF(Z78&lt;=79.99,"9","10")))))))</f>
        <v>7</v>
      </c>
      <c r="AC78" s="28">
        <v>4</v>
      </c>
      <c r="AD78" s="29">
        <f>AB78*AC78</f>
        <v>28</v>
      </c>
      <c r="AE78" s="22">
        <f>'[7]5th Subject'!$C62</f>
        <v>33</v>
      </c>
      <c r="AF78" s="23">
        <f>'[7]5th Subject'!$D62</f>
        <v>36</v>
      </c>
      <c r="AG78" s="27">
        <f>AF78+AE78</f>
        <v>69</v>
      </c>
      <c r="AH78" s="18" t="str">
        <f>IF(AG78&lt;50,"F",IF(AG78&lt;=54.99,"P",IF(AG78&lt;=59.99,"C",IF(AG78&lt;=64.99,"B",IF(AG78&lt;=69.99,"B+",IF(AG78&lt;=74.99,"A",IF(AG78&lt;=79.99,"A+","O")))))))</f>
        <v>B+</v>
      </c>
      <c r="AI78" s="18" t="str">
        <f>IF(AG78&lt;50,"0",IF(AG78&lt;=54.99,"4",IF(AG78&lt;=59.99,"5",IF(AG78&lt;=64.99,"6",IF(AG78&lt;=69.99,"7",IF(AG78&lt;=74.99,"8",IF(AG78&lt;=79.99,"9","10")))))))</f>
        <v>7</v>
      </c>
      <c r="AJ78" s="28">
        <v>4</v>
      </c>
      <c r="AK78" s="29">
        <f>AI78*AJ78</f>
        <v>28</v>
      </c>
      <c r="AL78" s="22">
        <f>'[8]6th Subject'!$C62</f>
        <v>33</v>
      </c>
      <c r="AM78" s="22">
        <f>'[8]6th Subject'!$D62</f>
        <v>36</v>
      </c>
      <c r="AN78" s="27">
        <f>AM78+AL78</f>
        <v>69</v>
      </c>
      <c r="AO78" s="18" t="str">
        <f>IF(AN78&lt;50,"F",IF(AN78&lt;=54.99,"P",IF(AN78&lt;=59.99,"C",IF(AN78&lt;=64.99,"B",IF(AN78&lt;=69.99,"B+",IF(AN78&lt;=74.99,"A",IF(AN78&lt;=79.99,"A+","O")))))))</f>
        <v>B+</v>
      </c>
      <c r="AP78" s="18" t="str">
        <f>IF(AN78&lt;50,"0",IF(AN78&lt;=54.99,"4",IF(AN78&lt;=59.99,"5",IF(AN78&lt;=64.99,"6",IF(AN78&lt;=69.99,"7",IF(AN78&lt;=74.99,"8",IF(AN78&lt;=79.99,"9","10")))))))</f>
        <v>7</v>
      </c>
      <c r="AQ78" s="28">
        <v>4</v>
      </c>
      <c r="AR78" s="29">
        <f>AP78*AQ78</f>
        <v>28</v>
      </c>
      <c r="AS78" s="16">
        <f>'[9]7th Subject'!$C62</f>
        <v>33</v>
      </c>
      <c r="AT78" s="16">
        <f>'[9]7th Subject'!$D62</f>
        <v>36</v>
      </c>
      <c r="AU78" s="27">
        <f>AT78+AS78</f>
        <v>69</v>
      </c>
      <c r="AV78" s="18" t="str">
        <f>IF(AU78&lt;50,"F",IF(AU78&lt;=54.99,"P",IF(AU78&lt;=59.99,"C",IF(AU78&lt;=64.99,"B",IF(AU78&lt;=69.99,"B+",IF(AU78&lt;=74.99,"A",IF(AU78&lt;=79.99,"A+","O")))))))</f>
        <v>B+</v>
      </c>
      <c r="AW78" s="18" t="str">
        <f>IF(AU78&lt;50,"0",IF(AU78&lt;=54.99,"4",IF(AU78&lt;=59.99,"5",IF(AU78&lt;=64.99,"6",IF(AU78&lt;=69.99,"7",IF(AU78&lt;=74.99,"8",IF(AU78&lt;=79.99,"9","10")))))))</f>
        <v>7</v>
      </c>
      <c r="AX78" s="28">
        <v>4</v>
      </c>
      <c r="AY78" s="29">
        <f>AW78*AX78</f>
        <v>28</v>
      </c>
      <c r="AZ78" s="22">
        <f>'[10]8th Subject'!$C62</f>
        <v>33</v>
      </c>
      <c r="BA78" s="22">
        <f>'[10]8th Subject'!$D62</f>
        <v>36</v>
      </c>
      <c r="BB78" s="27">
        <f>BA78+AZ78</f>
        <v>69</v>
      </c>
      <c r="BC78" s="18" t="str">
        <f>IF(BB78&lt;50,"F",IF(BB78&lt;=54.99,"P",IF(BB78&lt;=59.99,"C",IF(BB78&lt;=64.99,"B",IF(BB78&lt;=69.99,"B+",IF(BB78&lt;=74.99,"A",IF(BB78&lt;=79.99,"A+","O")))))))</f>
        <v>B+</v>
      </c>
      <c r="BD78" s="18" t="str">
        <f>IF(BB78&lt;50,"0",IF(BB78&lt;=54.99,"4",IF(BB78&lt;=59.99,"5",IF(BB78&lt;=64.99,"6",IF(BB78&lt;=69.99,"7",IF(BB78&lt;=74.99,"8",IF(BB78&lt;=79.99,"9","10")))))))</f>
        <v>7</v>
      </c>
      <c r="BE78" s="28">
        <v>4</v>
      </c>
      <c r="BF78" s="29">
        <f>BD78*BE78</f>
        <v>28</v>
      </c>
      <c r="BG78" s="27">
        <f>AZ78+AS78+AE78+X78+J78+C78+Q78+AL78</f>
        <v>264</v>
      </c>
      <c r="BH78" s="27">
        <f>BA78+AT78+AF78+Y78+K78+D78+R78+AM78</f>
        <v>288</v>
      </c>
      <c r="BI78" s="27">
        <f>BH78+BG78</f>
        <v>552</v>
      </c>
      <c r="BJ78" s="30">
        <f>G78+N78+U78+AB78+AI78+AP78+BD78+AW78</f>
        <v>56</v>
      </c>
      <c r="BK78" s="30">
        <f>I78+P78+W78+AD78+AK78+AY78+BF78+AR78</f>
        <v>224</v>
      </c>
      <c r="BL78" s="25">
        <f>(BN78-0.75)*10</f>
        <v>62.5</v>
      </c>
      <c r="BM78" s="17" t="str">
        <f>IF(OR(C78&lt;20,D78&lt;30,J78&lt;20,K78&lt;30,Q78&lt;20,R78&lt;30,X78&lt;20,Y78&lt;30,AE78&lt;20,AF78&lt;30,AL78&lt;20,AM78&lt;30,AS78&lt;20,AT78&lt;30,AZ78&lt;20,BA78&lt;30),"Unsuccessful","Successful")</f>
        <v>Successful</v>
      </c>
      <c r="BN78" s="31">
        <f>BK78/32</f>
        <v>7</v>
      </c>
      <c r="BO78" s="18" t="str">
        <f>IF(BN78&lt;=4,"F",IF(BN78&lt;=4.5,"P",IF(BN78&lt;=5.5,"C",IF(BN78&lt;=6.5,"B",IF(BN78&lt;=7.5,"B+",IF(BN78&lt;=8.5,"A",IF(BN78&lt;=9.5,"A+","O")))))))</f>
        <v>B+</v>
      </c>
      <c r="BP78" s="14" t="str">
        <f>IF(BN78&lt;=4,"50",IF(BN78&lt;=4.5,"50-54.99",IF(BN78&lt;=5.5,"55-59.99",IF(BN78&lt;=6.5,"60-64.99",IF(BN78&lt;=7.5,"65-69.99",IF(BN78&lt;=8.5,"70-74.99",IF(BN78&lt;=9.5,"75-79.99","10")))))))</f>
        <v>65-69.99</v>
      </c>
      <c r="BS78">
        <f>RANK(BN78,$BN$3:$BN$135)</f>
        <v>68</v>
      </c>
    </row>
    <row r="79" spans="1:71" x14ac:dyDescent="0.25">
      <c r="A79" s="14" t="str">
        <f>[2]Sheet1!$A66</f>
        <v>MMS18-20/065</v>
      </c>
      <c r="B79" s="15" t="str">
        <f>[2]Sheet1!$B66</f>
        <v>/DALVI RUTUJA JAGDISH SUPRIYA</v>
      </c>
      <c r="C79" s="16">
        <f>'[3]1st Subject'!$C67</f>
        <v>31</v>
      </c>
      <c r="D79" s="16">
        <f>'[3]1st Subject'!$D67</f>
        <v>38</v>
      </c>
      <c r="E79" s="27">
        <f>D79+C79</f>
        <v>69</v>
      </c>
      <c r="F79" s="18" t="str">
        <f>IF(E79&lt;50,"F",IF(E79&lt;=54.99,"P",IF(E79&lt;=59.99,"C",IF(E79&lt;=64.99,"B",IF(E79&lt;=69.99,"B+",IF(E79&lt;=74.99,"A",IF(E79&lt;=79.99,"A+","O")))))))</f>
        <v>B+</v>
      </c>
      <c r="G79" s="18" t="str">
        <f>IF(E79&lt;50,"0",IF(E79&lt;=54.99,"4",IF(E79&lt;=59.99,"5",IF(E79&lt;=64.99,"6",IF(E79&lt;=69.99,"7",IF(E79&lt;=74.99,"8",IF(E79&lt;=79.99,"9","10")))))))</f>
        <v>7</v>
      </c>
      <c r="H79" s="28">
        <v>4</v>
      </c>
      <c r="I79" s="29">
        <f>G79*H79</f>
        <v>28</v>
      </c>
      <c r="J79" s="16">
        <f>'[4]2nd Subject'!$C67</f>
        <v>31</v>
      </c>
      <c r="K79" s="16">
        <f>'[4]2nd Subject'!$D67</f>
        <v>38</v>
      </c>
      <c r="L79" s="27">
        <f>K79+J79</f>
        <v>69</v>
      </c>
      <c r="M79" s="18" t="str">
        <f>IF(L79&lt;50,"F",IF(L79&lt;=54.99,"P",IF(L79&lt;=59.99,"C",IF(L79&lt;=64.99,"B",IF(L79&lt;=69.99,"B+",IF(L79&lt;=74.99,"A",IF(L79&lt;=79.99,"A+","O")))))))</f>
        <v>B+</v>
      </c>
      <c r="N79" s="18" t="str">
        <f>IF(L79&lt;50,"0",IF(L79&lt;=54.99,"4",IF(L79&lt;=59.99,"5",IF(L79&lt;=64.99,"6",IF(L79&lt;=69.99,"7",IF(L79&lt;=74.99,"8",IF(L79&lt;=79.99,"9","10")))))))</f>
        <v>7</v>
      </c>
      <c r="O79" s="28">
        <v>4</v>
      </c>
      <c r="P79" s="29">
        <f>N79*O79</f>
        <v>28</v>
      </c>
      <c r="Q79" s="21">
        <f>'[5]3rd Subject'!$C67</f>
        <v>31</v>
      </c>
      <c r="R79" s="21">
        <f>'[5]3rd Subject'!$D67</f>
        <v>38</v>
      </c>
      <c r="S79" s="27">
        <f>R79+Q79</f>
        <v>69</v>
      </c>
      <c r="T79" s="18" t="str">
        <f>IF(S79&lt;50,"F",IF(S79&lt;=54.99,"P",IF(S79&lt;=59.99,"C",IF(S79&lt;=64.99,"B",IF(S79&lt;=69.99,"B+",IF(S79&lt;=74.99,"A",IF(S79&lt;=79.99,"A+","O")))))))</f>
        <v>B+</v>
      </c>
      <c r="U79" s="18" t="str">
        <f>IF(S79&lt;50,"0",IF(S79&lt;=54.99,"4",IF(S79&lt;=59.99,"5",IF(S79&lt;=64.99,"6",IF(S79&lt;=69.99,"7",IF(S79&lt;=74.99,"8",IF(S79&lt;=79.99,"9","10")))))))</f>
        <v>7</v>
      </c>
      <c r="V79" s="28">
        <v>4</v>
      </c>
      <c r="W79" s="29">
        <f>U79*V79</f>
        <v>28</v>
      </c>
      <c r="X79" s="22">
        <f>'[6]4th Subject'!$C67</f>
        <v>31</v>
      </c>
      <c r="Y79" s="23">
        <f>'[6]4th Subject'!$D67</f>
        <v>38</v>
      </c>
      <c r="Z79" s="27">
        <f>Y79+X79</f>
        <v>69</v>
      </c>
      <c r="AA79" s="18" t="str">
        <f>IF(Z79&lt;50,"F",IF(Z79&lt;=54.99,"P",IF(Z79&lt;=59.99,"C",IF(Z79&lt;=64.99,"B",IF(Z79&lt;=69.99,"B+",IF(Z79&lt;=74.99,"A",IF(Z79&lt;=79.99,"A+","O")))))))</f>
        <v>B+</v>
      </c>
      <c r="AB79" s="18" t="str">
        <f>IF(Z79&lt;50,"0",IF(Z79&lt;=54.99,"4",IF(Z79&lt;=59.99,"5",IF(Z79&lt;=64.99,"6",IF(Z79&lt;=69.99,"7",IF(Z79&lt;=74.99,"8",IF(Z79&lt;=79.99,"9","10")))))))</f>
        <v>7</v>
      </c>
      <c r="AC79" s="28">
        <v>4</v>
      </c>
      <c r="AD79" s="29">
        <f>AB79*AC79</f>
        <v>28</v>
      </c>
      <c r="AE79" s="22">
        <f>'[7]5th Subject'!$C67</f>
        <v>31</v>
      </c>
      <c r="AF79" s="23">
        <f>'[7]5th Subject'!$D67</f>
        <v>38</v>
      </c>
      <c r="AG79" s="27">
        <f>AF79+AE79</f>
        <v>69</v>
      </c>
      <c r="AH79" s="18" t="str">
        <f>IF(AG79&lt;50,"F",IF(AG79&lt;=54.99,"P",IF(AG79&lt;=59.99,"C",IF(AG79&lt;=64.99,"B",IF(AG79&lt;=69.99,"B+",IF(AG79&lt;=74.99,"A",IF(AG79&lt;=79.99,"A+","O")))))))</f>
        <v>B+</v>
      </c>
      <c r="AI79" s="18" t="str">
        <f>IF(AG79&lt;50,"0",IF(AG79&lt;=54.99,"4",IF(AG79&lt;=59.99,"5",IF(AG79&lt;=64.99,"6",IF(AG79&lt;=69.99,"7",IF(AG79&lt;=74.99,"8",IF(AG79&lt;=79.99,"9","10")))))))</f>
        <v>7</v>
      </c>
      <c r="AJ79" s="28">
        <v>4</v>
      </c>
      <c r="AK79" s="29">
        <f>AI79*AJ79</f>
        <v>28</v>
      </c>
      <c r="AL79" s="22">
        <f>'[8]6th Subject'!$C67</f>
        <v>31</v>
      </c>
      <c r="AM79" s="22">
        <f>'[8]6th Subject'!$D67</f>
        <v>38</v>
      </c>
      <c r="AN79" s="27">
        <f>AM79+AL79</f>
        <v>69</v>
      </c>
      <c r="AO79" s="18" t="str">
        <f>IF(AN79&lt;50,"F",IF(AN79&lt;=54.99,"P",IF(AN79&lt;=59.99,"C",IF(AN79&lt;=64.99,"B",IF(AN79&lt;=69.99,"B+",IF(AN79&lt;=74.99,"A",IF(AN79&lt;=79.99,"A+","O")))))))</f>
        <v>B+</v>
      </c>
      <c r="AP79" s="18" t="str">
        <f>IF(AN79&lt;50,"0",IF(AN79&lt;=54.99,"4",IF(AN79&lt;=59.99,"5",IF(AN79&lt;=64.99,"6",IF(AN79&lt;=69.99,"7",IF(AN79&lt;=74.99,"8",IF(AN79&lt;=79.99,"9","10")))))))</f>
        <v>7</v>
      </c>
      <c r="AQ79" s="28">
        <v>4</v>
      </c>
      <c r="AR79" s="29">
        <f>AP79*AQ79</f>
        <v>28</v>
      </c>
      <c r="AS79" s="16">
        <f>'[9]7th Subject'!$C67</f>
        <v>31</v>
      </c>
      <c r="AT79" s="16">
        <f>'[9]7th Subject'!$D67</f>
        <v>38</v>
      </c>
      <c r="AU79" s="27">
        <f>AT79+AS79</f>
        <v>69</v>
      </c>
      <c r="AV79" s="18" t="str">
        <f>IF(AU79&lt;50,"F",IF(AU79&lt;=54.99,"P",IF(AU79&lt;=59.99,"C",IF(AU79&lt;=64.99,"B",IF(AU79&lt;=69.99,"B+",IF(AU79&lt;=74.99,"A",IF(AU79&lt;=79.99,"A+","O")))))))</f>
        <v>B+</v>
      </c>
      <c r="AW79" s="18" t="str">
        <f>IF(AU79&lt;50,"0",IF(AU79&lt;=54.99,"4",IF(AU79&lt;=59.99,"5",IF(AU79&lt;=64.99,"6",IF(AU79&lt;=69.99,"7",IF(AU79&lt;=74.99,"8",IF(AU79&lt;=79.99,"9","10")))))))</f>
        <v>7</v>
      </c>
      <c r="AX79" s="28">
        <v>4</v>
      </c>
      <c r="AY79" s="29">
        <f>AW79*AX79</f>
        <v>28</v>
      </c>
      <c r="AZ79" s="22">
        <f>'[10]8th Subject'!$C67</f>
        <v>31</v>
      </c>
      <c r="BA79" s="22">
        <f>'[10]8th Subject'!$D67</f>
        <v>38</v>
      </c>
      <c r="BB79" s="27">
        <f>BA79+AZ79</f>
        <v>69</v>
      </c>
      <c r="BC79" s="18" t="str">
        <f>IF(BB79&lt;50,"F",IF(BB79&lt;=54.99,"P",IF(BB79&lt;=59.99,"C",IF(BB79&lt;=64.99,"B",IF(BB79&lt;=69.99,"B+",IF(BB79&lt;=74.99,"A",IF(BB79&lt;=79.99,"A+","O")))))))</f>
        <v>B+</v>
      </c>
      <c r="BD79" s="18" t="str">
        <f>IF(BB79&lt;50,"0",IF(BB79&lt;=54.99,"4",IF(BB79&lt;=59.99,"5",IF(BB79&lt;=64.99,"6",IF(BB79&lt;=69.99,"7",IF(BB79&lt;=74.99,"8",IF(BB79&lt;=79.99,"9","10")))))))</f>
        <v>7</v>
      </c>
      <c r="BE79" s="28">
        <v>4</v>
      </c>
      <c r="BF79" s="29">
        <f>BD79*BE79</f>
        <v>28</v>
      </c>
      <c r="BG79" s="27">
        <f>AZ79+AS79+AE79+X79+J79+C79+Q79+AL79</f>
        <v>248</v>
      </c>
      <c r="BH79" s="27">
        <f>BA79+AT79+AF79+Y79+K79+D79+R79+AM79</f>
        <v>304</v>
      </c>
      <c r="BI79" s="27">
        <f>BH79+BG79</f>
        <v>552</v>
      </c>
      <c r="BJ79" s="30">
        <f>G79+N79+U79+AB79+AI79+AP79+BD79+AW79</f>
        <v>56</v>
      </c>
      <c r="BK79" s="30">
        <f>I79+P79+W79+AD79+AK79+AY79+BF79+AR79</f>
        <v>224</v>
      </c>
      <c r="BL79" s="25">
        <f>(BN79-0.75)*10</f>
        <v>62.5</v>
      </c>
      <c r="BM79" s="17" t="str">
        <f>IF(OR(C79&lt;20,D79&lt;30,J79&lt;20,K79&lt;30,Q79&lt;20,R79&lt;30,X79&lt;20,Y79&lt;30,AE79&lt;20,AF79&lt;30,AL79&lt;20,AM79&lt;30,AS79&lt;20,AT79&lt;30,AZ79&lt;20,BA79&lt;30),"Unsuccessful","Successful")</f>
        <v>Successful</v>
      </c>
      <c r="BN79" s="31">
        <f>BK79/32</f>
        <v>7</v>
      </c>
      <c r="BO79" s="18" t="str">
        <f>IF(BN79&lt;=4,"F",IF(BN79&lt;=4.5,"P",IF(BN79&lt;=5.5,"C",IF(BN79&lt;=6.5,"B",IF(BN79&lt;=7.5,"B+",IF(BN79&lt;=8.5,"A",IF(BN79&lt;=9.5,"A+","O")))))))</f>
        <v>B+</v>
      </c>
      <c r="BP79" s="14" t="str">
        <f>IF(BN79&lt;=4,"50",IF(BN79&lt;=4.5,"50-54.99",IF(BN79&lt;=5.5,"55-59.99",IF(BN79&lt;=6.5,"60-64.99",IF(BN79&lt;=7.5,"65-69.99",IF(BN79&lt;=8.5,"70-74.99",IF(BN79&lt;=9.5,"75-79.99","10")))))))</f>
        <v>65-69.99</v>
      </c>
      <c r="BS79">
        <f>RANK(BN79,$BN$3:$BN$135)</f>
        <v>68</v>
      </c>
    </row>
    <row r="80" spans="1:71" x14ac:dyDescent="0.25">
      <c r="A80" s="14" t="str">
        <f>[2]Sheet1!$A72</f>
        <v>MMS18-20/071</v>
      </c>
      <c r="B80" s="15" t="str">
        <f>[2]Sheet1!$B72</f>
        <v>INGLE ATHARAVA SHASHIKANT SAILEE</v>
      </c>
      <c r="C80" s="16">
        <f>'[3]1st Subject'!$C73</f>
        <v>33</v>
      </c>
      <c r="D80" s="16">
        <f>'[3]1st Subject'!$D73</f>
        <v>36</v>
      </c>
      <c r="E80" s="27">
        <f>D80+C80</f>
        <v>69</v>
      </c>
      <c r="F80" s="18" t="str">
        <f>IF(E80&lt;50,"F",IF(E80&lt;=54.99,"P",IF(E80&lt;=59.99,"C",IF(E80&lt;=64.99,"B",IF(E80&lt;=69.99,"B+",IF(E80&lt;=74.99,"A",IF(E80&lt;=79.99,"A+","O")))))))</f>
        <v>B+</v>
      </c>
      <c r="G80" s="18" t="str">
        <f>IF(E80&lt;50,"0",IF(E80&lt;=54.99,"4",IF(E80&lt;=59.99,"5",IF(E80&lt;=64.99,"6",IF(E80&lt;=69.99,"7",IF(E80&lt;=74.99,"8",IF(E80&lt;=79.99,"9","10")))))))</f>
        <v>7</v>
      </c>
      <c r="H80" s="28">
        <v>4</v>
      </c>
      <c r="I80" s="29">
        <f>G80*H80</f>
        <v>28</v>
      </c>
      <c r="J80" s="16">
        <f>'[4]2nd Subject'!$C73</f>
        <v>33</v>
      </c>
      <c r="K80" s="16">
        <f>'[4]2nd Subject'!$D73</f>
        <v>36</v>
      </c>
      <c r="L80" s="27">
        <f>K80+J80</f>
        <v>69</v>
      </c>
      <c r="M80" s="18" t="str">
        <f>IF(L80&lt;50,"F",IF(L80&lt;=54.99,"P",IF(L80&lt;=59.99,"C",IF(L80&lt;=64.99,"B",IF(L80&lt;=69.99,"B+",IF(L80&lt;=74.99,"A",IF(L80&lt;=79.99,"A+","O")))))))</f>
        <v>B+</v>
      </c>
      <c r="N80" s="18" t="str">
        <f>IF(L80&lt;50,"0",IF(L80&lt;=54.99,"4",IF(L80&lt;=59.99,"5",IF(L80&lt;=64.99,"6",IF(L80&lt;=69.99,"7",IF(L80&lt;=74.99,"8",IF(L80&lt;=79.99,"9","10")))))))</f>
        <v>7</v>
      </c>
      <c r="O80" s="28">
        <v>4</v>
      </c>
      <c r="P80" s="29">
        <f>N80*O80</f>
        <v>28</v>
      </c>
      <c r="Q80" s="21">
        <f>'[5]3rd Subject'!$C73</f>
        <v>33</v>
      </c>
      <c r="R80" s="21">
        <f>'[5]3rd Subject'!$D73</f>
        <v>36</v>
      </c>
      <c r="S80" s="27">
        <f>R80+Q80</f>
        <v>69</v>
      </c>
      <c r="T80" s="18" t="str">
        <f>IF(S80&lt;50,"F",IF(S80&lt;=54.99,"P",IF(S80&lt;=59.99,"C",IF(S80&lt;=64.99,"B",IF(S80&lt;=69.99,"B+",IF(S80&lt;=74.99,"A",IF(S80&lt;=79.99,"A+","O")))))))</f>
        <v>B+</v>
      </c>
      <c r="U80" s="18" t="str">
        <f>IF(S80&lt;50,"0",IF(S80&lt;=54.99,"4",IF(S80&lt;=59.99,"5",IF(S80&lt;=64.99,"6",IF(S80&lt;=69.99,"7",IF(S80&lt;=74.99,"8",IF(S80&lt;=79.99,"9","10")))))))</f>
        <v>7</v>
      </c>
      <c r="V80" s="28">
        <v>4</v>
      </c>
      <c r="W80" s="29">
        <f>U80*V80</f>
        <v>28</v>
      </c>
      <c r="X80" s="22">
        <f>'[6]4th Subject'!$C73</f>
        <v>33</v>
      </c>
      <c r="Y80" s="23">
        <f>'[6]4th Subject'!$D73</f>
        <v>36</v>
      </c>
      <c r="Z80" s="27">
        <f>Y80+X80</f>
        <v>69</v>
      </c>
      <c r="AA80" s="18" t="str">
        <f>IF(Z80&lt;50,"F",IF(Z80&lt;=54.99,"P",IF(Z80&lt;=59.99,"C",IF(Z80&lt;=64.99,"B",IF(Z80&lt;=69.99,"B+",IF(Z80&lt;=74.99,"A",IF(Z80&lt;=79.99,"A+","O")))))))</f>
        <v>B+</v>
      </c>
      <c r="AB80" s="18" t="str">
        <f>IF(Z80&lt;50,"0",IF(Z80&lt;=54.99,"4",IF(Z80&lt;=59.99,"5",IF(Z80&lt;=64.99,"6",IF(Z80&lt;=69.99,"7",IF(Z80&lt;=74.99,"8",IF(Z80&lt;=79.99,"9","10")))))))</f>
        <v>7</v>
      </c>
      <c r="AC80" s="28">
        <v>4</v>
      </c>
      <c r="AD80" s="29">
        <f>AB80*AC80</f>
        <v>28</v>
      </c>
      <c r="AE80" s="22">
        <f>'[7]5th Subject'!$C73</f>
        <v>33</v>
      </c>
      <c r="AF80" s="23">
        <f>'[7]5th Subject'!$D73</f>
        <v>36</v>
      </c>
      <c r="AG80" s="27">
        <f>AF80+AE80</f>
        <v>69</v>
      </c>
      <c r="AH80" s="18" t="str">
        <f>IF(AG80&lt;50,"F",IF(AG80&lt;=54.99,"P",IF(AG80&lt;=59.99,"C",IF(AG80&lt;=64.99,"B",IF(AG80&lt;=69.99,"B+",IF(AG80&lt;=74.99,"A",IF(AG80&lt;=79.99,"A+","O")))))))</f>
        <v>B+</v>
      </c>
      <c r="AI80" s="18" t="str">
        <f>IF(AG80&lt;50,"0",IF(AG80&lt;=54.99,"4",IF(AG80&lt;=59.99,"5",IF(AG80&lt;=64.99,"6",IF(AG80&lt;=69.99,"7",IF(AG80&lt;=74.99,"8",IF(AG80&lt;=79.99,"9","10")))))))</f>
        <v>7</v>
      </c>
      <c r="AJ80" s="28">
        <v>4</v>
      </c>
      <c r="AK80" s="29">
        <f>AI80*AJ80</f>
        <v>28</v>
      </c>
      <c r="AL80" s="22">
        <f>'[8]6th Subject'!$C73</f>
        <v>33</v>
      </c>
      <c r="AM80" s="22">
        <f>'[8]6th Subject'!$D73</f>
        <v>36</v>
      </c>
      <c r="AN80" s="27">
        <f>AM80+AL80</f>
        <v>69</v>
      </c>
      <c r="AO80" s="18" t="str">
        <f>IF(AN80&lt;50,"F",IF(AN80&lt;=54.99,"P",IF(AN80&lt;=59.99,"C",IF(AN80&lt;=64.99,"B",IF(AN80&lt;=69.99,"B+",IF(AN80&lt;=74.99,"A",IF(AN80&lt;=79.99,"A+","O")))))))</f>
        <v>B+</v>
      </c>
      <c r="AP80" s="18" t="str">
        <f>IF(AN80&lt;50,"0",IF(AN80&lt;=54.99,"4",IF(AN80&lt;=59.99,"5",IF(AN80&lt;=64.99,"6",IF(AN80&lt;=69.99,"7",IF(AN80&lt;=74.99,"8",IF(AN80&lt;=79.99,"9","10")))))))</f>
        <v>7</v>
      </c>
      <c r="AQ80" s="28">
        <v>4</v>
      </c>
      <c r="AR80" s="29">
        <f>AP80*AQ80</f>
        <v>28</v>
      </c>
      <c r="AS80" s="16">
        <f>'[9]7th Subject'!$C73</f>
        <v>33</v>
      </c>
      <c r="AT80" s="16">
        <f>'[9]7th Subject'!$D73</f>
        <v>36</v>
      </c>
      <c r="AU80" s="27">
        <f>AT80+AS80</f>
        <v>69</v>
      </c>
      <c r="AV80" s="18" t="str">
        <f>IF(AU80&lt;50,"F",IF(AU80&lt;=54.99,"P",IF(AU80&lt;=59.99,"C",IF(AU80&lt;=64.99,"B",IF(AU80&lt;=69.99,"B+",IF(AU80&lt;=74.99,"A",IF(AU80&lt;=79.99,"A+","O")))))))</f>
        <v>B+</v>
      </c>
      <c r="AW80" s="18" t="str">
        <f>IF(AU80&lt;50,"0",IF(AU80&lt;=54.99,"4",IF(AU80&lt;=59.99,"5",IF(AU80&lt;=64.99,"6",IF(AU80&lt;=69.99,"7",IF(AU80&lt;=74.99,"8",IF(AU80&lt;=79.99,"9","10")))))))</f>
        <v>7</v>
      </c>
      <c r="AX80" s="28">
        <v>4</v>
      </c>
      <c r="AY80" s="29">
        <f>AW80*AX80</f>
        <v>28</v>
      </c>
      <c r="AZ80" s="22">
        <f>'[10]8th Subject'!$C73</f>
        <v>33</v>
      </c>
      <c r="BA80" s="22">
        <f>'[10]8th Subject'!$D73</f>
        <v>36</v>
      </c>
      <c r="BB80" s="27">
        <f>BA80+AZ80</f>
        <v>69</v>
      </c>
      <c r="BC80" s="18" t="str">
        <f>IF(BB80&lt;50,"F",IF(BB80&lt;=54.99,"P",IF(BB80&lt;=59.99,"C",IF(BB80&lt;=64.99,"B",IF(BB80&lt;=69.99,"B+",IF(BB80&lt;=74.99,"A",IF(BB80&lt;=79.99,"A+","O")))))))</f>
        <v>B+</v>
      </c>
      <c r="BD80" s="18" t="str">
        <f>IF(BB80&lt;50,"0",IF(BB80&lt;=54.99,"4",IF(BB80&lt;=59.99,"5",IF(BB80&lt;=64.99,"6",IF(BB80&lt;=69.99,"7",IF(BB80&lt;=74.99,"8",IF(BB80&lt;=79.99,"9","10")))))))</f>
        <v>7</v>
      </c>
      <c r="BE80" s="28">
        <v>4</v>
      </c>
      <c r="BF80" s="29">
        <f>BD80*BE80</f>
        <v>28</v>
      </c>
      <c r="BG80" s="27">
        <f>AZ80+AS80+AE80+X80+J80+C80+Q80+AL80</f>
        <v>264</v>
      </c>
      <c r="BH80" s="27">
        <f>BA80+AT80+AF80+Y80+K80+D80+R80+AM80</f>
        <v>288</v>
      </c>
      <c r="BI80" s="27">
        <f>BH80+BG80</f>
        <v>552</v>
      </c>
      <c r="BJ80" s="30">
        <f>G80+N80+U80+AB80+AI80+AP80+BD80+AW80</f>
        <v>56</v>
      </c>
      <c r="BK80" s="30">
        <f>I80+P80+W80+AD80+AK80+AY80+BF80+AR80</f>
        <v>224</v>
      </c>
      <c r="BL80" s="25">
        <f>(BN80-0.75)*10</f>
        <v>62.5</v>
      </c>
      <c r="BM80" s="17" t="str">
        <f>IF(OR(C80&lt;20,D80&lt;30,J80&lt;20,K80&lt;30,Q80&lt;20,R80&lt;30,X80&lt;20,Y80&lt;30,AE80&lt;20,AF80&lt;30,AL80&lt;20,AM80&lt;30,AS80&lt;20,AT80&lt;30,AZ80&lt;20,BA80&lt;30),"Unsuccessful","Successful")</f>
        <v>Successful</v>
      </c>
      <c r="BN80" s="31">
        <f>BK80/32</f>
        <v>7</v>
      </c>
      <c r="BO80" s="18" t="str">
        <f>IF(BN80&lt;=4,"F",IF(BN80&lt;=4.5,"P",IF(BN80&lt;=5.5,"C",IF(BN80&lt;=6.5,"B",IF(BN80&lt;=7.5,"B+",IF(BN80&lt;=8.5,"A",IF(BN80&lt;=9.5,"A+","O")))))))</f>
        <v>B+</v>
      </c>
      <c r="BP80" s="14" t="str">
        <f>IF(BN80&lt;=4,"50",IF(BN80&lt;=4.5,"50-54.99",IF(BN80&lt;=5.5,"55-59.99",IF(BN80&lt;=6.5,"60-64.99",IF(BN80&lt;=7.5,"65-69.99",IF(BN80&lt;=8.5,"70-74.99",IF(BN80&lt;=9.5,"75-79.99","10")))))))</f>
        <v>65-69.99</v>
      </c>
      <c r="BS80">
        <f>RANK(BN80,$BN$3:$BN$135)</f>
        <v>68</v>
      </c>
    </row>
    <row r="81" spans="1:71" x14ac:dyDescent="0.25">
      <c r="A81" s="14" t="str">
        <f>[2]Sheet1!$A77</f>
        <v>MMS18-20/076</v>
      </c>
      <c r="B81" s="15" t="str">
        <f>[2]Sheet1!$B77</f>
        <v>PANCHAL SWAPNIL SATYAWAN MANASI</v>
      </c>
      <c r="C81" s="16">
        <f>'[3]1st Subject'!$C78</f>
        <v>31</v>
      </c>
      <c r="D81" s="16">
        <f>'[3]1st Subject'!$D78</f>
        <v>38</v>
      </c>
      <c r="E81" s="27">
        <f>D81+C81</f>
        <v>69</v>
      </c>
      <c r="F81" s="18" t="str">
        <f>IF(E81&lt;50,"F",IF(E81&lt;=54.99,"P",IF(E81&lt;=59.99,"C",IF(E81&lt;=64.99,"B",IF(E81&lt;=69.99,"B+",IF(E81&lt;=74.99,"A",IF(E81&lt;=79.99,"A+","O")))))))</f>
        <v>B+</v>
      </c>
      <c r="G81" s="18" t="str">
        <f>IF(E81&lt;50,"0",IF(E81&lt;=54.99,"4",IF(E81&lt;=59.99,"5",IF(E81&lt;=64.99,"6",IF(E81&lt;=69.99,"7",IF(E81&lt;=74.99,"8",IF(E81&lt;=79.99,"9","10")))))))</f>
        <v>7</v>
      </c>
      <c r="H81" s="28">
        <v>4</v>
      </c>
      <c r="I81" s="29">
        <f>G81*H81</f>
        <v>28</v>
      </c>
      <c r="J81" s="16">
        <f>'[4]2nd Subject'!$C78</f>
        <v>31</v>
      </c>
      <c r="K81" s="16">
        <f>'[4]2nd Subject'!$D78</f>
        <v>38</v>
      </c>
      <c r="L81" s="27">
        <f>K81+J81</f>
        <v>69</v>
      </c>
      <c r="M81" s="18" t="str">
        <f>IF(L81&lt;50,"F",IF(L81&lt;=54.99,"P",IF(L81&lt;=59.99,"C",IF(L81&lt;=64.99,"B",IF(L81&lt;=69.99,"B+",IF(L81&lt;=74.99,"A",IF(L81&lt;=79.99,"A+","O")))))))</f>
        <v>B+</v>
      </c>
      <c r="N81" s="18" t="str">
        <f>IF(L81&lt;50,"0",IF(L81&lt;=54.99,"4",IF(L81&lt;=59.99,"5",IF(L81&lt;=64.99,"6",IF(L81&lt;=69.99,"7",IF(L81&lt;=74.99,"8",IF(L81&lt;=79.99,"9","10")))))))</f>
        <v>7</v>
      </c>
      <c r="O81" s="28">
        <v>4</v>
      </c>
      <c r="P81" s="29">
        <f>N81*O81</f>
        <v>28</v>
      </c>
      <c r="Q81" s="21">
        <f>'[5]3rd Subject'!$C78</f>
        <v>31</v>
      </c>
      <c r="R81" s="21">
        <f>'[5]3rd Subject'!$D78</f>
        <v>38</v>
      </c>
      <c r="S81" s="27">
        <f>R81+Q81</f>
        <v>69</v>
      </c>
      <c r="T81" s="18" t="str">
        <f>IF(S81&lt;50,"F",IF(S81&lt;=54.99,"P",IF(S81&lt;=59.99,"C",IF(S81&lt;=64.99,"B",IF(S81&lt;=69.99,"B+",IF(S81&lt;=74.99,"A",IF(S81&lt;=79.99,"A+","O")))))))</f>
        <v>B+</v>
      </c>
      <c r="U81" s="18" t="str">
        <f>IF(S81&lt;50,"0",IF(S81&lt;=54.99,"4",IF(S81&lt;=59.99,"5",IF(S81&lt;=64.99,"6",IF(S81&lt;=69.99,"7",IF(S81&lt;=74.99,"8",IF(S81&lt;=79.99,"9","10")))))))</f>
        <v>7</v>
      </c>
      <c r="V81" s="28">
        <v>4</v>
      </c>
      <c r="W81" s="29">
        <f>U81*V81</f>
        <v>28</v>
      </c>
      <c r="X81" s="22">
        <f>'[6]4th Subject'!$C78</f>
        <v>31</v>
      </c>
      <c r="Y81" s="23">
        <f>'[6]4th Subject'!$D78</f>
        <v>38</v>
      </c>
      <c r="Z81" s="27">
        <f>Y81+X81</f>
        <v>69</v>
      </c>
      <c r="AA81" s="18" t="str">
        <f>IF(Z81&lt;50,"F",IF(Z81&lt;=54.99,"P",IF(Z81&lt;=59.99,"C",IF(Z81&lt;=64.99,"B",IF(Z81&lt;=69.99,"B+",IF(Z81&lt;=74.99,"A",IF(Z81&lt;=79.99,"A+","O")))))))</f>
        <v>B+</v>
      </c>
      <c r="AB81" s="18" t="str">
        <f>IF(Z81&lt;50,"0",IF(Z81&lt;=54.99,"4",IF(Z81&lt;=59.99,"5",IF(Z81&lt;=64.99,"6",IF(Z81&lt;=69.99,"7",IF(Z81&lt;=74.99,"8",IF(Z81&lt;=79.99,"9","10")))))))</f>
        <v>7</v>
      </c>
      <c r="AC81" s="28">
        <v>4</v>
      </c>
      <c r="AD81" s="29">
        <f>AB81*AC81</f>
        <v>28</v>
      </c>
      <c r="AE81" s="22">
        <f>'[7]5th Subject'!$C78</f>
        <v>31</v>
      </c>
      <c r="AF81" s="23">
        <f>'[7]5th Subject'!$D78</f>
        <v>38</v>
      </c>
      <c r="AG81" s="27">
        <f>AF81+AE81</f>
        <v>69</v>
      </c>
      <c r="AH81" s="18" t="str">
        <f>IF(AG81&lt;50,"F",IF(AG81&lt;=54.99,"P",IF(AG81&lt;=59.99,"C",IF(AG81&lt;=64.99,"B",IF(AG81&lt;=69.99,"B+",IF(AG81&lt;=74.99,"A",IF(AG81&lt;=79.99,"A+","O")))))))</f>
        <v>B+</v>
      </c>
      <c r="AI81" s="18" t="str">
        <f>IF(AG81&lt;50,"0",IF(AG81&lt;=54.99,"4",IF(AG81&lt;=59.99,"5",IF(AG81&lt;=64.99,"6",IF(AG81&lt;=69.99,"7",IF(AG81&lt;=74.99,"8",IF(AG81&lt;=79.99,"9","10")))))))</f>
        <v>7</v>
      </c>
      <c r="AJ81" s="28">
        <v>4</v>
      </c>
      <c r="AK81" s="29">
        <f>AI81*AJ81</f>
        <v>28</v>
      </c>
      <c r="AL81" s="22">
        <f>'[8]6th Subject'!$C78</f>
        <v>31</v>
      </c>
      <c r="AM81" s="22">
        <f>'[8]6th Subject'!$D78</f>
        <v>38</v>
      </c>
      <c r="AN81" s="27">
        <f>AM81+AL81</f>
        <v>69</v>
      </c>
      <c r="AO81" s="18" t="str">
        <f>IF(AN81&lt;50,"F",IF(AN81&lt;=54.99,"P",IF(AN81&lt;=59.99,"C",IF(AN81&lt;=64.99,"B",IF(AN81&lt;=69.99,"B+",IF(AN81&lt;=74.99,"A",IF(AN81&lt;=79.99,"A+","O")))))))</f>
        <v>B+</v>
      </c>
      <c r="AP81" s="18" t="str">
        <f>IF(AN81&lt;50,"0",IF(AN81&lt;=54.99,"4",IF(AN81&lt;=59.99,"5",IF(AN81&lt;=64.99,"6",IF(AN81&lt;=69.99,"7",IF(AN81&lt;=74.99,"8",IF(AN81&lt;=79.99,"9","10")))))))</f>
        <v>7</v>
      </c>
      <c r="AQ81" s="28">
        <v>4</v>
      </c>
      <c r="AR81" s="29">
        <f>AP81*AQ81</f>
        <v>28</v>
      </c>
      <c r="AS81" s="16">
        <f>'[9]7th Subject'!$C78</f>
        <v>31</v>
      </c>
      <c r="AT81" s="16">
        <f>'[9]7th Subject'!$D78</f>
        <v>38</v>
      </c>
      <c r="AU81" s="27">
        <f>AT81+AS81</f>
        <v>69</v>
      </c>
      <c r="AV81" s="18" t="str">
        <f>IF(AU81&lt;50,"F",IF(AU81&lt;=54.99,"P",IF(AU81&lt;=59.99,"C",IF(AU81&lt;=64.99,"B",IF(AU81&lt;=69.99,"B+",IF(AU81&lt;=74.99,"A",IF(AU81&lt;=79.99,"A+","O")))))))</f>
        <v>B+</v>
      </c>
      <c r="AW81" s="18" t="str">
        <f>IF(AU81&lt;50,"0",IF(AU81&lt;=54.99,"4",IF(AU81&lt;=59.99,"5",IF(AU81&lt;=64.99,"6",IF(AU81&lt;=69.99,"7",IF(AU81&lt;=74.99,"8",IF(AU81&lt;=79.99,"9","10")))))))</f>
        <v>7</v>
      </c>
      <c r="AX81" s="28">
        <v>4</v>
      </c>
      <c r="AY81" s="29">
        <f>AW81*AX81</f>
        <v>28</v>
      </c>
      <c r="AZ81" s="22">
        <f>'[10]8th Subject'!$C78</f>
        <v>31</v>
      </c>
      <c r="BA81" s="22">
        <f>'[10]8th Subject'!$D78</f>
        <v>38</v>
      </c>
      <c r="BB81" s="27">
        <f>BA81+AZ81</f>
        <v>69</v>
      </c>
      <c r="BC81" s="18" t="str">
        <f>IF(BB81&lt;50,"F",IF(BB81&lt;=54.99,"P",IF(BB81&lt;=59.99,"C",IF(BB81&lt;=64.99,"B",IF(BB81&lt;=69.99,"B+",IF(BB81&lt;=74.99,"A",IF(BB81&lt;=79.99,"A+","O")))))))</f>
        <v>B+</v>
      </c>
      <c r="BD81" s="18" t="str">
        <f>IF(BB81&lt;50,"0",IF(BB81&lt;=54.99,"4",IF(BB81&lt;=59.99,"5",IF(BB81&lt;=64.99,"6",IF(BB81&lt;=69.99,"7",IF(BB81&lt;=74.99,"8",IF(BB81&lt;=79.99,"9","10")))))))</f>
        <v>7</v>
      </c>
      <c r="BE81" s="28">
        <v>4</v>
      </c>
      <c r="BF81" s="29">
        <f>BD81*BE81</f>
        <v>28</v>
      </c>
      <c r="BG81" s="27">
        <f>AZ81+AS81+AE81+X81+J81+C81+Q81+AL81</f>
        <v>248</v>
      </c>
      <c r="BH81" s="27">
        <f>BA81+AT81+AF81+Y81+K81+D81+R81+AM81</f>
        <v>304</v>
      </c>
      <c r="BI81" s="27">
        <f>BH81+BG81</f>
        <v>552</v>
      </c>
      <c r="BJ81" s="30">
        <f>G81+N81+U81+AB81+AI81+AP81+BD81+AW81</f>
        <v>56</v>
      </c>
      <c r="BK81" s="30">
        <f>I81+P81+W81+AD81+AK81+AY81+BF81+AR81</f>
        <v>224</v>
      </c>
      <c r="BL81" s="25">
        <f>(BN81-0.75)*10</f>
        <v>62.5</v>
      </c>
      <c r="BM81" s="17" t="str">
        <f>IF(OR(C81&lt;20,D81&lt;30,J81&lt;20,K81&lt;30,Q81&lt;20,R81&lt;30,X81&lt;20,Y81&lt;30,AE81&lt;20,AF81&lt;30,AL81&lt;20,AM81&lt;30,AS81&lt;20,AT81&lt;30,AZ81&lt;20,BA81&lt;30),"Unsuccessful","Successful")</f>
        <v>Successful</v>
      </c>
      <c r="BN81" s="31">
        <f>BK81/32</f>
        <v>7</v>
      </c>
      <c r="BO81" s="18" t="str">
        <f>IF(BN81&lt;=4,"F",IF(BN81&lt;=4.5,"P",IF(BN81&lt;=5.5,"C",IF(BN81&lt;=6.5,"B",IF(BN81&lt;=7.5,"B+",IF(BN81&lt;=8.5,"A",IF(BN81&lt;=9.5,"A+","O")))))))</f>
        <v>B+</v>
      </c>
      <c r="BP81" s="14" t="str">
        <f>IF(BN81&lt;=4,"50",IF(BN81&lt;=4.5,"50-54.99",IF(BN81&lt;=5.5,"55-59.99",IF(BN81&lt;=6.5,"60-64.99",IF(BN81&lt;=7.5,"65-69.99",IF(BN81&lt;=8.5,"70-74.99",IF(BN81&lt;=9.5,"75-79.99","10")))))))</f>
        <v>65-69.99</v>
      </c>
      <c r="BS81">
        <f>RANK(BN81,$BN$3:$BN$135)</f>
        <v>68</v>
      </c>
    </row>
    <row r="82" spans="1:71" x14ac:dyDescent="0.25">
      <c r="A82" s="14" t="str">
        <f>[2]Sheet1!$A83</f>
        <v>MMS18-20/082</v>
      </c>
      <c r="B82" s="15" t="str">
        <f>[2]Sheet1!$B83</f>
        <v>/PHANSE SAILEE VINOD LEELA</v>
      </c>
      <c r="C82" s="16">
        <f>'[3]1st Subject'!$C84</f>
        <v>33</v>
      </c>
      <c r="D82" s="16">
        <f>'[3]1st Subject'!$D84</f>
        <v>36</v>
      </c>
      <c r="E82" s="27">
        <f>D82+C82</f>
        <v>69</v>
      </c>
      <c r="F82" s="18" t="str">
        <f>IF(E82&lt;50,"F",IF(E82&lt;=54.99,"P",IF(E82&lt;=59.99,"C",IF(E82&lt;=64.99,"B",IF(E82&lt;=69.99,"B+",IF(E82&lt;=74.99,"A",IF(E82&lt;=79.99,"A+","O")))))))</f>
        <v>B+</v>
      </c>
      <c r="G82" s="18" t="str">
        <f>IF(E82&lt;50,"0",IF(E82&lt;=54.99,"4",IF(E82&lt;=59.99,"5",IF(E82&lt;=64.99,"6",IF(E82&lt;=69.99,"7",IF(E82&lt;=74.99,"8",IF(E82&lt;=79.99,"9","10")))))))</f>
        <v>7</v>
      </c>
      <c r="H82" s="28">
        <v>4</v>
      </c>
      <c r="I82" s="29">
        <f>G82*H82</f>
        <v>28</v>
      </c>
      <c r="J82" s="16">
        <f>'[4]2nd Subject'!$C84</f>
        <v>33</v>
      </c>
      <c r="K82" s="16">
        <f>'[4]2nd Subject'!$D84</f>
        <v>36</v>
      </c>
      <c r="L82" s="27">
        <f>K82+J82</f>
        <v>69</v>
      </c>
      <c r="M82" s="18" t="str">
        <f>IF(L82&lt;50,"F",IF(L82&lt;=54.99,"P",IF(L82&lt;=59.99,"C",IF(L82&lt;=64.99,"B",IF(L82&lt;=69.99,"B+",IF(L82&lt;=74.99,"A",IF(L82&lt;=79.99,"A+","O")))))))</f>
        <v>B+</v>
      </c>
      <c r="N82" s="18" t="str">
        <f>IF(L82&lt;50,"0",IF(L82&lt;=54.99,"4",IF(L82&lt;=59.99,"5",IF(L82&lt;=64.99,"6",IF(L82&lt;=69.99,"7",IF(L82&lt;=74.99,"8",IF(L82&lt;=79.99,"9","10")))))))</f>
        <v>7</v>
      </c>
      <c r="O82" s="28">
        <v>4</v>
      </c>
      <c r="P82" s="29">
        <f>N82*O82</f>
        <v>28</v>
      </c>
      <c r="Q82" s="21">
        <f>'[5]3rd Subject'!$C84</f>
        <v>33</v>
      </c>
      <c r="R82" s="21">
        <f>'[5]3rd Subject'!$D84</f>
        <v>36</v>
      </c>
      <c r="S82" s="27">
        <f>R82+Q82</f>
        <v>69</v>
      </c>
      <c r="T82" s="18" t="str">
        <f>IF(S82&lt;50,"F",IF(S82&lt;=54.99,"P",IF(S82&lt;=59.99,"C",IF(S82&lt;=64.99,"B",IF(S82&lt;=69.99,"B+",IF(S82&lt;=74.99,"A",IF(S82&lt;=79.99,"A+","O")))))))</f>
        <v>B+</v>
      </c>
      <c r="U82" s="18" t="str">
        <f>IF(S82&lt;50,"0",IF(S82&lt;=54.99,"4",IF(S82&lt;=59.99,"5",IF(S82&lt;=64.99,"6",IF(S82&lt;=69.99,"7",IF(S82&lt;=74.99,"8",IF(S82&lt;=79.99,"9","10")))))))</f>
        <v>7</v>
      </c>
      <c r="V82" s="28">
        <v>4</v>
      </c>
      <c r="W82" s="29">
        <f>U82*V82</f>
        <v>28</v>
      </c>
      <c r="X82" s="22">
        <f>'[6]4th Subject'!$C84</f>
        <v>33</v>
      </c>
      <c r="Y82" s="23">
        <f>'[6]4th Subject'!$D84</f>
        <v>36</v>
      </c>
      <c r="Z82" s="27">
        <f>Y82+X82</f>
        <v>69</v>
      </c>
      <c r="AA82" s="18" t="str">
        <f>IF(Z82&lt;50,"F",IF(Z82&lt;=54.99,"P",IF(Z82&lt;=59.99,"C",IF(Z82&lt;=64.99,"B",IF(Z82&lt;=69.99,"B+",IF(Z82&lt;=74.99,"A",IF(Z82&lt;=79.99,"A+","O")))))))</f>
        <v>B+</v>
      </c>
      <c r="AB82" s="18" t="str">
        <f>IF(Z82&lt;50,"0",IF(Z82&lt;=54.99,"4",IF(Z82&lt;=59.99,"5",IF(Z82&lt;=64.99,"6",IF(Z82&lt;=69.99,"7",IF(Z82&lt;=74.99,"8",IF(Z82&lt;=79.99,"9","10")))))))</f>
        <v>7</v>
      </c>
      <c r="AC82" s="28">
        <v>4</v>
      </c>
      <c r="AD82" s="29">
        <f>AB82*AC82</f>
        <v>28</v>
      </c>
      <c r="AE82" s="22">
        <f>'[7]5th Subject'!$C84</f>
        <v>33</v>
      </c>
      <c r="AF82" s="23">
        <f>'[7]5th Subject'!$D84</f>
        <v>36</v>
      </c>
      <c r="AG82" s="27">
        <f>AF82+AE82</f>
        <v>69</v>
      </c>
      <c r="AH82" s="18" t="str">
        <f>IF(AG82&lt;50,"F",IF(AG82&lt;=54.99,"P",IF(AG82&lt;=59.99,"C",IF(AG82&lt;=64.99,"B",IF(AG82&lt;=69.99,"B+",IF(AG82&lt;=74.99,"A",IF(AG82&lt;=79.99,"A+","O")))))))</f>
        <v>B+</v>
      </c>
      <c r="AI82" s="18" t="str">
        <f>IF(AG82&lt;50,"0",IF(AG82&lt;=54.99,"4",IF(AG82&lt;=59.99,"5",IF(AG82&lt;=64.99,"6",IF(AG82&lt;=69.99,"7",IF(AG82&lt;=74.99,"8",IF(AG82&lt;=79.99,"9","10")))))))</f>
        <v>7</v>
      </c>
      <c r="AJ82" s="28">
        <v>4</v>
      </c>
      <c r="AK82" s="29">
        <f>AI82*AJ82</f>
        <v>28</v>
      </c>
      <c r="AL82" s="22">
        <f>'[8]6th Subject'!$C84</f>
        <v>33</v>
      </c>
      <c r="AM82" s="22">
        <f>'[8]6th Subject'!$D84</f>
        <v>36</v>
      </c>
      <c r="AN82" s="27">
        <f>AM82+AL82</f>
        <v>69</v>
      </c>
      <c r="AO82" s="18" t="str">
        <f>IF(AN82&lt;50,"F",IF(AN82&lt;=54.99,"P",IF(AN82&lt;=59.99,"C",IF(AN82&lt;=64.99,"B",IF(AN82&lt;=69.99,"B+",IF(AN82&lt;=74.99,"A",IF(AN82&lt;=79.99,"A+","O")))))))</f>
        <v>B+</v>
      </c>
      <c r="AP82" s="18" t="str">
        <f>IF(AN82&lt;50,"0",IF(AN82&lt;=54.99,"4",IF(AN82&lt;=59.99,"5",IF(AN82&lt;=64.99,"6",IF(AN82&lt;=69.99,"7",IF(AN82&lt;=74.99,"8",IF(AN82&lt;=79.99,"9","10")))))))</f>
        <v>7</v>
      </c>
      <c r="AQ82" s="28">
        <v>4</v>
      </c>
      <c r="AR82" s="29">
        <f>AP82*AQ82</f>
        <v>28</v>
      </c>
      <c r="AS82" s="16">
        <f>'[9]7th Subject'!$C84</f>
        <v>33</v>
      </c>
      <c r="AT82" s="16">
        <f>'[9]7th Subject'!$D84</f>
        <v>36</v>
      </c>
      <c r="AU82" s="27">
        <f>AT82+AS82</f>
        <v>69</v>
      </c>
      <c r="AV82" s="18" t="str">
        <f>IF(AU82&lt;50,"F",IF(AU82&lt;=54.99,"P",IF(AU82&lt;=59.99,"C",IF(AU82&lt;=64.99,"B",IF(AU82&lt;=69.99,"B+",IF(AU82&lt;=74.99,"A",IF(AU82&lt;=79.99,"A+","O")))))))</f>
        <v>B+</v>
      </c>
      <c r="AW82" s="18" t="str">
        <f>IF(AU82&lt;50,"0",IF(AU82&lt;=54.99,"4",IF(AU82&lt;=59.99,"5",IF(AU82&lt;=64.99,"6",IF(AU82&lt;=69.99,"7",IF(AU82&lt;=74.99,"8",IF(AU82&lt;=79.99,"9","10")))))))</f>
        <v>7</v>
      </c>
      <c r="AX82" s="28">
        <v>4</v>
      </c>
      <c r="AY82" s="29">
        <f>AW82*AX82</f>
        <v>28</v>
      </c>
      <c r="AZ82" s="22">
        <f>'[10]8th Subject'!$C84</f>
        <v>33</v>
      </c>
      <c r="BA82" s="22">
        <f>'[10]8th Subject'!$D84</f>
        <v>36</v>
      </c>
      <c r="BB82" s="27">
        <f>BA82+AZ82</f>
        <v>69</v>
      </c>
      <c r="BC82" s="18" t="str">
        <f>IF(BB82&lt;50,"F",IF(BB82&lt;=54.99,"P",IF(BB82&lt;=59.99,"C",IF(BB82&lt;=64.99,"B",IF(BB82&lt;=69.99,"B+",IF(BB82&lt;=74.99,"A",IF(BB82&lt;=79.99,"A+","O")))))))</f>
        <v>B+</v>
      </c>
      <c r="BD82" s="18" t="str">
        <f>IF(BB82&lt;50,"0",IF(BB82&lt;=54.99,"4",IF(BB82&lt;=59.99,"5",IF(BB82&lt;=64.99,"6",IF(BB82&lt;=69.99,"7",IF(BB82&lt;=74.99,"8",IF(BB82&lt;=79.99,"9","10")))))))</f>
        <v>7</v>
      </c>
      <c r="BE82" s="28">
        <v>4</v>
      </c>
      <c r="BF82" s="29">
        <f>BD82*BE82</f>
        <v>28</v>
      </c>
      <c r="BG82" s="27">
        <f>AZ82+AS82+AE82+X82+J82+C82+Q82+AL82</f>
        <v>264</v>
      </c>
      <c r="BH82" s="27">
        <f>BA82+AT82+AF82+Y82+K82+D82+R82+AM82</f>
        <v>288</v>
      </c>
      <c r="BI82" s="27">
        <f>BH82+BG82</f>
        <v>552</v>
      </c>
      <c r="BJ82" s="30">
        <f>G82+N82+U82+AB82+AI82+AP82+BD82+AW82</f>
        <v>56</v>
      </c>
      <c r="BK82" s="30">
        <f>I82+P82+W82+AD82+AK82+AY82+BF82+AR82</f>
        <v>224</v>
      </c>
      <c r="BL82" s="25">
        <f>(BN82-0.75)*10</f>
        <v>62.5</v>
      </c>
      <c r="BM82" s="17" t="str">
        <f>IF(OR(C82&lt;20,D82&lt;30,J82&lt;20,K82&lt;30,Q82&lt;20,R82&lt;30,X82&lt;20,Y82&lt;30,AE82&lt;20,AF82&lt;30,AL82&lt;20,AM82&lt;30,AS82&lt;20,AT82&lt;30,AZ82&lt;20,BA82&lt;30),"Unsuccessful","Successful")</f>
        <v>Successful</v>
      </c>
      <c r="BN82" s="31">
        <f>BK82/32</f>
        <v>7</v>
      </c>
      <c r="BO82" s="18" t="str">
        <f>IF(BN82&lt;=4,"F",IF(BN82&lt;=4.5,"P",IF(BN82&lt;=5.5,"C",IF(BN82&lt;=6.5,"B",IF(BN82&lt;=7.5,"B+",IF(BN82&lt;=8.5,"A",IF(BN82&lt;=9.5,"A+","O")))))))</f>
        <v>B+</v>
      </c>
      <c r="BP82" s="14" t="str">
        <f>IF(BN82&lt;=4,"50",IF(BN82&lt;=4.5,"50-54.99",IF(BN82&lt;=5.5,"55-59.99",IF(BN82&lt;=6.5,"60-64.99",IF(BN82&lt;=7.5,"65-69.99",IF(BN82&lt;=8.5,"70-74.99",IF(BN82&lt;=9.5,"75-79.99","10")))))))</f>
        <v>65-69.99</v>
      </c>
      <c r="BS82">
        <f>RANK(BN82,$BN$3:$BN$135)</f>
        <v>68</v>
      </c>
    </row>
    <row r="83" spans="1:71" x14ac:dyDescent="0.25">
      <c r="A83" s="14" t="str">
        <f>[2]Sheet1!$A88</f>
        <v>MMS18-20/087</v>
      </c>
      <c r="B83" s="15" t="str">
        <f>[2]Sheet1!$B88</f>
        <v>/RAORANE SAINI SATISH SANCHITA</v>
      </c>
      <c r="C83" s="16">
        <f>'[3]1st Subject'!$C89</f>
        <v>31</v>
      </c>
      <c r="D83" s="16">
        <f>'[3]1st Subject'!$D89</f>
        <v>38</v>
      </c>
      <c r="E83" s="27">
        <f>D83+C83</f>
        <v>69</v>
      </c>
      <c r="F83" s="18" t="str">
        <f>IF(E83&lt;50,"F",IF(E83&lt;=54.99,"P",IF(E83&lt;=59.99,"C",IF(E83&lt;=64.99,"B",IF(E83&lt;=69.99,"B+",IF(E83&lt;=74.99,"A",IF(E83&lt;=79.99,"A+","O")))))))</f>
        <v>B+</v>
      </c>
      <c r="G83" s="18" t="str">
        <f>IF(E83&lt;50,"0",IF(E83&lt;=54.99,"4",IF(E83&lt;=59.99,"5",IF(E83&lt;=64.99,"6",IF(E83&lt;=69.99,"7",IF(E83&lt;=74.99,"8",IF(E83&lt;=79.99,"9","10")))))))</f>
        <v>7</v>
      </c>
      <c r="H83" s="28">
        <v>4</v>
      </c>
      <c r="I83" s="29">
        <f>G83*H83</f>
        <v>28</v>
      </c>
      <c r="J83" s="16">
        <f>'[4]2nd Subject'!$C89</f>
        <v>31</v>
      </c>
      <c r="K83" s="16">
        <f>'[4]2nd Subject'!$D89</f>
        <v>38</v>
      </c>
      <c r="L83" s="27">
        <f>K83+J83</f>
        <v>69</v>
      </c>
      <c r="M83" s="18" t="str">
        <f>IF(L83&lt;50,"F",IF(L83&lt;=54.99,"P",IF(L83&lt;=59.99,"C",IF(L83&lt;=64.99,"B",IF(L83&lt;=69.99,"B+",IF(L83&lt;=74.99,"A",IF(L83&lt;=79.99,"A+","O")))))))</f>
        <v>B+</v>
      </c>
      <c r="N83" s="18" t="str">
        <f>IF(L83&lt;50,"0",IF(L83&lt;=54.99,"4",IF(L83&lt;=59.99,"5",IF(L83&lt;=64.99,"6",IF(L83&lt;=69.99,"7",IF(L83&lt;=74.99,"8",IF(L83&lt;=79.99,"9","10")))))))</f>
        <v>7</v>
      </c>
      <c r="O83" s="28">
        <v>4</v>
      </c>
      <c r="P83" s="29">
        <f>N83*O83</f>
        <v>28</v>
      </c>
      <c r="Q83" s="21">
        <f>'[5]3rd Subject'!$C89</f>
        <v>31</v>
      </c>
      <c r="R83" s="21">
        <f>'[5]3rd Subject'!$D89</f>
        <v>38</v>
      </c>
      <c r="S83" s="27">
        <f>R83+Q83</f>
        <v>69</v>
      </c>
      <c r="T83" s="18" t="str">
        <f>IF(S83&lt;50,"F",IF(S83&lt;=54.99,"P",IF(S83&lt;=59.99,"C",IF(S83&lt;=64.99,"B",IF(S83&lt;=69.99,"B+",IF(S83&lt;=74.99,"A",IF(S83&lt;=79.99,"A+","O")))))))</f>
        <v>B+</v>
      </c>
      <c r="U83" s="18" t="str">
        <f>IF(S83&lt;50,"0",IF(S83&lt;=54.99,"4",IF(S83&lt;=59.99,"5",IF(S83&lt;=64.99,"6",IF(S83&lt;=69.99,"7",IF(S83&lt;=74.99,"8",IF(S83&lt;=79.99,"9","10")))))))</f>
        <v>7</v>
      </c>
      <c r="V83" s="28">
        <v>4</v>
      </c>
      <c r="W83" s="29">
        <f>U83*V83</f>
        <v>28</v>
      </c>
      <c r="X83" s="22">
        <f>'[6]4th Subject'!$C89</f>
        <v>31</v>
      </c>
      <c r="Y83" s="23">
        <f>'[6]4th Subject'!$D89</f>
        <v>38</v>
      </c>
      <c r="Z83" s="27">
        <f>Y83+X83</f>
        <v>69</v>
      </c>
      <c r="AA83" s="18" t="str">
        <f>IF(Z83&lt;50,"F",IF(Z83&lt;=54.99,"P",IF(Z83&lt;=59.99,"C",IF(Z83&lt;=64.99,"B",IF(Z83&lt;=69.99,"B+",IF(Z83&lt;=74.99,"A",IF(Z83&lt;=79.99,"A+","O")))))))</f>
        <v>B+</v>
      </c>
      <c r="AB83" s="18" t="str">
        <f>IF(Z83&lt;50,"0",IF(Z83&lt;=54.99,"4",IF(Z83&lt;=59.99,"5",IF(Z83&lt;=64.99,"6",IF(Z83&lt;=69.99,"7",IF(Z83&lt;=74.99,"8",IF(Z83&lt;=79.99,"9","10")))))))</f>
        <v>7</v>
      </c>
      <c r="AC83" s="28">
        <v>4</v>
      </c>
      <c r="AD83" s="29">
        <f>AB83*AC83</f>
        <v>28</v>
      </c>
      <c r="AE83" s="22">
        <f>'[7]5th Subject'!$C89</f>
        <v>31</v>
      </c>
      <c r="AF83" s="23">
        <f>'[7]5th Subject'!$D89</f>
        <v>38</v>
      </c>
      <c r="AG83" s="27">
        <f>AF83+AE83</f>
        <v>69</v>
      </c>
      <c r="AH83" s="18" t="str">
        <f>IF(AG83&lt;50,"F",IF(AG83&lt;=54.99,"P",IF(AG83&lt;=59.99,"C",IF(AG83&lt;=64.99,"B",IF(AG83&lt;=69.99,"B+",IF(AG83&lt;=74.99,"A",IF(AG83&lt;=79.99,"A+","O")))))))</f>
        <v>B+</v>
      </c>
      <c r="AI83" s="18" t="str">
        <f>IF(AG83&lt;50,"0",IF(AG83&lt;=54.99,"4",IF(AG83&lt;=59.99,"5",IF(AG83&lt;=64.99,"6",IF(AG83&lt;=69.99,"7",IF(AG83&lt;=74.99,"8",IF(AG83&lt;=79.99,"9","10")))))))</f>
        <v>7</v>
      </c>
      <c r="AJ83" s="28">
        <v>4</v>
      </c>
      <c r="AK83" s="29">
        <f>AI83*AJ83</f>
        <v>28</v>
      </c>
      <c r="AL83" s="22">
        <f>'[8]6th Subject'!$C89</f>
        <v>31</v>
      </c>
      <c r="AM83" s="22">
        <f>'[8]6th Subject'!$D89</f>
        <v>38</v>
      </c>
      <c r="AN83" s="27">
        <f>AM83+AL83</f>
        <v>69</v>
      </c>
      <c r="AO83" s="18" t="str">
        <f>IF(AN83&lt;50,"F",IF(AN83&lt;=54.99,"P",IF(AN83&lt;=59.99,"C",IF(AN83&lt;=64.99,"B",IF(AN83&lt;=69.99,"B+",IF(AN83&lt;=74.99,"A",IF(AN83&lt;=79.99,"A+","O")))))))</f>
        <v>B+</v>
      </c>
      <c r="AP83" s="18" t="str">
        <f>IF(AN83&lt;50,"0",IF(AN83&lt;=54.99,"4",IF(AN83&lt;=59.99,"5",IF(AN83&lt;=64.99,"6",IF(AN83&lt;=69.99,"7",IF(AN83&lt;=74.99,"8",IF(AN83&lt;=79.99,"9","10")))))))</f>
        <v>7</v>
      </c>
      <c r="AQ83" s="28">
        <v>4</v>
      </c>
      <c r="AR83" s="29">
        <f>AP83*AQ83</f>
        <v>28</v>
      </c>
      <c r="AS83" s="16">
        <f>'[9]7th Subject'!$C89</f>
        <v>31</v>
      </c>
      <c r="AT83" s="16">
        <f>'[9]7th Subject'!$D89</f>
        <v>38</v>
      </c>
      <c r="AU83" s="27">
        <f>AT83+AS83</f>
        <v>69</v>
      </c>
      <c r="AV83" s="18" t="str">
        <f>IF(AU83&lt;50,"F",IF(AU83&lt;=54.99,"P",IF(AU83&lt;=59.99,"C",IF(AU83&lt;=64.99,"B",IF(AU83&lt;=69.99,"B+",IF(AU83&lt;=74.99,"A",IF(AU83&lt;=79.99,"A+","O")))))))</f>
        <v>B+</v>
      </c>
      <c r="AW83" s="18" t="str">
        <f>IF(AU83&lt;50,"0",IF(AU83&lt;=54.99,"4",IF(AU83&lt;=59.99,"5",IF(AU83&lt;=64.99,"6",IF(AU83&lt;=69.99,"7",IF(AU83&lt;=74.99,"8",IF(AU83&lt;=79.99,"9","10")))))))</f>
        <v>7</v>
      </c>
      <c r="AX83" s="28">
        <v>4</v>
      </c>
      <c r="AY83" s="29">
        <f>AW83*AX83</f>
        <v>28</v>
      </c>
      <c r="AZ83" s="22">
        <f>'[10]8th Subject'!$C89</f>
        <v>31</v>
      </c>
      <c r="BA83" s="22">
        <f>'[10]8th Subject'!$D89</f>
        <v>38</v>
      </c>
      <c r="BB83" s="27">
        <f>BA83+AZ83</f>
        <v>69</v>
      </c>
      <c r="BC83" s="18" t="str">
        <f>IF(BB83&lt;50,"F",IF(BB83&lt;=54.99,"P",IF(BB83&lt;=59.99,"C",IF(BB83&lt;=64.99,"B",IF(BB83&lt;=69.99,"B+",IF(BB83&lt;=74.99,"A",IF(BB83&lt;=79.99,"A+","O")))))))</f>
        <v>B+</v>
      </c>
      <c r="BD83" s="18" t="str">
        <f>IF(BB83&lt;50,"0",IF(BB83&lt;=54.99,"4",IF(BB83&lt;=59.99,"5",IF(BB83&lt;=64.99,"6",IF(BB83&lt;=69.99,"7",IF(BB83&lt;=74.99,"8",IF(BB83&lt;=79.99,"9","10")))))))</f>
        <v>7</v>
      </c>
      <c r="BE83" s="28">
        <v>4</v>
      </c>
      <c r="BF83" s="29">
        <f>BD83*BE83</f>
        <v>28</v>
      </c>
      <c r="BG83" s="27">
        <f>AZ83+AS83+AE83+X83+J83+C83+Q83+AL83</f>
        <v>248</v>
      </c>
      <c r="BH83" s="27">
        <f>BA83+AT83+AF83+Y83+K83+D83+R83+AM83</f>
        <v>304</v>
      </c>
      <c r="BI83" s="27">
        <f>BH83+BG83</f>
        <v>552</v>
      </c>
      <c r="BJ83" s="30">
        <f>G83+N83+U83+AB83+AI83+AP83+BD83+AW83</f>
        <v>56</v>
      </c>
      <c r="BK83" s="30">
        <f>I83+P83+W83+AD83+AK83+AY83+BF83+AR83</f>
        <v>224</v>
      </c>
      <c r="BL83" s="25">
        <f>(BN83-0.75)*10</f>
        <v>62.5</v>
      </c>
      <c r="BM83" s="17" t="str">
        <f>IF(OR(C83&lt;20,D83&lt;30,J83&lt;20,K83&lt;30,Q83&lt;20,R83&lt;30,X83&lt;20,Y83&lt;30,AE83&lt;20,AF83&lt;30,AL83&lt;20,AM83&lt;30,AS83&lt;20,AT83&lt;30,AZ83&lt;20,BA83&lt;30),"Unsuccessful","Successful")</f>
        <v>Successful</v>
      </c>
      <c r="BN83" s="31">
        <f>BK83/32</f>
        <v>7</v>
      </c>
      <c r="BO83" s="18" t="str">
        <f>IF(BN83&lt;=4,"F",IF(BN83&lt;=4.5,"P",IF(BN83&lt;=5.5,"C",IF(BN83&lt;=6.5,"B",IF(BN83&lt;=7.5,"B+",IF(BN83&lt;=8.5,"A",IF(BN83&lt;=9.5,"A+","O")))))))</f>
        <v>B+</v>
      </c>
      <c r="BP83" s="14" t="str">
        <f>IF(BN83&lt;=4,"50",IF(BN83&lt;=4.5,"50-54.99",IF(BN83&lt;=5.5,"55-59.99",IF(BN83&lt;=6.5,"60-64.99",IF(BN83&lt;=7.5,"65-69.99",IF(BN83&lt;=8.5,"70-74.99",IF(BN83&lt;=9.5,"75-79.99","10")))))))</f>
        <v>65-69.99</v>
      </c>
      <c r="BS83">
        <f>RANK(BN83,$BN$3:$BN$135)</f>
        <v>68</v>
      </c>
    </row>
    <row r="84" spans="1:71" x14ac:dyDescent="0.25">
      <c r="A84" s="14" t="str">
        <f>[2]Sheet1!$A94</f>
        <v>MMS18-20/093</v>
      </c>
      <c r="B84" s="15" t="str">
        <f>[2]Sheet1!$B94</f>
        <v>/SHARMA PALAK PRAHLAD MRIDULA</v>
      </c>
      <c r="C84" s="16">
        <f>'[3]1st Subject'!$C95</f>
        <v>33</v>
      </c>
      <c r="D84" s="16">
        <f>'[3]1st Subject'!$D95</f>
        <v>36</v>
      </c>
      <c r="E84" s="27">
        <f>D84+C84</f>
        <v>69</v>
      </c>
      <c r="F84" s="18" t="str">
        <f>IF(E84&lt;50,"F",IF(E84&lt;=54.99,"P",IF(E84&lt;=59.99,"C",IF(E84&lt;=64.99,"B",IF(E84&lt;=69.99,"B+",IF(E84&lt;=74.99,"A",IF(E84&lt;=79.99,"A+","O")))))))</f>
        <v>B+</v>
      </c>
      <c r="G84" s="18" t="str">
        <f>IF(E84&lt;50,"0",IF(E84&lt;=54.99,"4",IF(E84&lt;=59.99,"5",IF(E84&lt;=64.99,"6",IF(E84&lt;=69.99,"7",IF(E84&lt;=74.99,"8",IF(E84&lt;=79.99,"9","10")))))))</f>
        <v>7</v>
      </c>
      <c r="H84" s="28">
        <v>4</v>
      </c>
      <c r="I84" s="29">
        <f>G84*H84</f>
        <v>28</v>
      </c>
      <c r="J84" s="16">
        <f>'[4]2nd Subject'!$C95</f>
        <v>33</v>
      </c>
      <c r="K84" s="16">
        <f>'[4]2nd Subject'!$D95</f>
        <v>36</v>
      </c>
      <c r="L84" s="27">
        <f>K84+J84</f>
        <v>69</v>
      </c>
      <c r="M84" s="18" t="str">
        <f>IF(L84&lt;50,"F",IF(L84&lt;=54.99,"P",IF(L84&lt;=59.99,"C",IF(L84&lt;=64.99,"B",IF(L84&lt;=69.99,"B+",IF(L84&lt;=74.99,"A",IF(L84&lt;=79.99,"A+","O")))))))</f>
        <v>B+</v>
      </c>
      <c r="N84" s="18" t="str">
        <f>IF(L84&lt;50,"0",IF(L84&lt;=54.99,"4",IF(L84&lt;=59.99,"5",IF(L84&lt;=64.99,"6",IF(L84&lt;=69.99,"7",IF(L84&lt;=74.99,"8",IF(L84&lt;=79.99,"9","10")))))))</f>
        <v>7</v>
      </c>
      <c r="O84" s="28">
        <v>4</v>
      </c>
      <c r="P84" s="29">
        <f>N84*O84</f>
        <v>28</v>
      </c>
      <c r="Q84" s="21">
        <f>'[5]3rd Subject'!$C95</f>
        <v>33</v>
      </c>
      <c r="R84" s="21">
        <f>'[5]3rd Subject'!$D95</f>
        <v>36</v>
      </c>
      <c r="S84" s="27">
        <f>R84+Q84</f>
        <v>69</v>
      </c>
      <c r="T84" s="18" t="str">
        <f>IF(S84&lt;50,"F",IF(S84&lt;=54.99,"P",IF(S84&lt;=59.99,"C",IF(S84&lt;=64.99,"B",IF(S84&lt;=69.99,"B+",IF(S84&lt;=74.99,"A",IF(S84&lt;=79.99,"A+","O")))))))</f>
        <v>B+</v>
      </c>
      <c r="U84" s="18" t="str">
        <f>IF(S84&lt;50,"0",IF(S84&lt;=54.99,"4",IF(S84&lt;=59.99,"5",IF(S84&lt;=64.99,"6",IF(S84&lt;=69.99,"7",IF(S84&lt;=74.99,"8",IF(S84&lt;=79.99,"9","10")))))))</f>
        <v>7</v>
      </c>
      <c r="V84" s="28">
        <v>4</v>
      </c>
      <c r="W84" s="29">
        <f>U84*V84</f>
        <v>28</v>
      </c>
      <c r="X84" s="22">
        <f>'[6]4th Subject'!$C95</f>
        <v>33</v>
      </c>
      <c r="Y84" s="23">
        <f>'[6]4th Subject'!$D95</f>
        <v>36</v>
      </c>
      <c r="Z84" s="27">
        <f>Y84+X84</f>
        <v>69</v>
      </c>
      <c r="AA84" s="18" t="str">
        <f>IF(Z84&lt;50,"F",IF(Z84&lt;=54.99,"P",IF(Z84&lt;=59.99,"C",IF(Z84&lt;=64.99,"B",IF(Z84&lt;=69.99,"B+",IF(Z84&lt;=74.99,"A",IF(Z84&lt;=79.99,"A+","O")))))))</f>
        <v>B+</v>
      </c>
      <c r="AB84" s="18" t="str">
        <f>IF(Z84&lt;50,"0",IF(Z84&lt;=54.99,"4",IF(Z84&lt;=59.99,"5",IF(Z84&lt;=64.99,"6",IF(Z84&lt;=69.99,"7",IF(Z84&lt;=74.99,"8",IF(Z84&lt;=79.99,"9","10")))))))</f>
        <v>7</v>
      </c>
      <c r="AC84" s="28">
        <v>4</v>
      </c>
      <c r="AD84" s="29">
        <f>AB84*AC84</f>
        <v>28</v>
      </c>
      <c r="AE84" s="22">
        <f>'[7]5th Subject'!$C95</f>
        <v>33</v>
      </c>
      <c r="AF84" s="23">
        <f>'[7]5th Subject'!$D95</f>
        <v>36</v>
      </c>
      <c r="AG84" s="27">
        <f>AF84+AE84</f>
        <v>69</v>
      </c>
      <c r="AH84" s="18" t="str">
        <f>IF(AG84&lt;50,"F",IF(AG84&lt;=54.99,"P",IF(AG84&lt;=59.99,"C",IF(AG84&lt;=64.99,"B",IF(AG84&lt;=69.99,"B+",IF(AG84&lt;=74.99,"A",IF(AG84&lt;=79.99,"A+","O")))))))</f>
        <v>B+</v>
      </c>
      <c r="AI84" s="18" t="str">
        <f>IF(AG84&lt;50,"0",IF(AG84&lt;=54.99,"4",IF(AG84&lt;=59.99,"5",IF(AG84&lt;=64.99,"6",IF(AG84&lt;=69.99,"7",IF(AG84&lt;=74.99,"8",IF(AG84&lt;=79.99,"9","10")))))))</f>
        <v>7</v>
      </c>
      <c r="AJ84" s="28">
        <v>4</v>
      </c>
      <c r="AK84" s="29">
        <f>AI84*AJ84</f>
        <v>28</v>
      </c>
      <c r="AL84" s="22">
        <f>'[8]6th Subject'!$C95</f>
        <v>33</v>
      </c>
      <c r="AM84" s="22">
        <f>'[8]6th Subject'!$D95</f>
        <v>36</v>
      </c>
      <c r="AN84" s="27">
        <f>AM84+AL84</f>
        <v>69</v>
      </c>
      <c r="AO84" s="18" t="str">
        <f>IF(AN84&lt;50,"F",IF(AN84&lt;=54.99,"P",IF(AN84&lt;=59.99,"C",IF(AN84&lt;=64.99,"B",IF(AN84&lt;=69.99,"B+",IF(AN84&lt;=74.99,"A",IF(AN84&lt;=79.99,"A+","O")))))))</f>
        <v>B+</v>
      </c>
      <c r="AP84" s="18" t="str">
        <f>IF(AN84&lt;50,"0",IF(AN84&lt;=54.99,"4",IF(AN84&lt;=59.99,"5",IF(AN84&lt;=64.99,"6",IF(AN84&lt;=69.99,"7",IF(AN84&lt;=74.99,"8",IF(AN84&lt;=79.99,"9","10")))))))</f>
        <v>7</v>
      </c>
      <c r="AQ84" s="28">
        <v>4</v>
      </c>
      <c r="AR84" s="29">
        <f>AP84*AQ84</f>
        <v>28</v>
      </c>
      <c r="AS84" s="16">
        <f>'[9]7th Subject'!$C95</f>
        <v>33</v>
      </c>
      <c r="AT84" s="16">
        <f>'[9]7th Subject'!$D95</f>
        <v>36</v>
      </c>
      <c r="AU84" s="27">
        <f>AT84+AS84</f>
        <v>69</v>
      </c>
      <c r="AV84" s="18" t="str">
        <f>IF(AU84&lt;50,"F",IF(AU84&lt;=54.99,"P",IF(AU84&lt;=59.99,"C",IF(AU84&lt;=64.99,"B",IF(AU84&lt;=69.99,"B+",IF(AU84&lt;=74.99,"A",IF(AU84&lt;=79.99,"A+","O")))))))</f>
        <v>B+</v>
      </c>
      <c r="AW84" s="18" t="str">
        <f>IF(AU84&lt;50,"0",IF(AU84&lt;=54.99,"4",IF(AU84&lt;=59.99,"5",IF(AU84&lt;=64.99,"6",IF(AU84&lt;=69.99,"7",IF(AU84&lt;=74.99,"8",IF(AU84&lt;=79.99,"9","10")))))))</f>
        <v>7</v>
      </c>
      <c r="AX84" s="28">
        <v>4</v>
      </c>
      <c r="AY84" s="29">
        <f>AW84*AX84</f>
        <v>28</v>
      </c>
      <c r="AZ84" s="22">
        <f>'[10]8th Subject'!$C95</f>
        <v>33</v>
      </c>
      <c r="BA84" s="22">
        <f>'[10]8th Subject'!$D95</f>
        <v>36</v>
      </c>
      <c r="BB84" s="27">
        <f>BA84+AZ84</f>
        <v>69</v>
      </c>
      <c r="BC84" s="18" t="str">
        <f>IF(BB84&lt;50,"F",IF(BB84&lt;=54.99,"P",IF(BB84&lt;=59.99,"C",IF(BB84&lt;=64.99,"B",IF(BB84&lt;=69.99,"B+",IF(BB84&lt;=74.99,"A",IF(BB84&lt;=79.99,"A+","O")))))))</f>
        <v>B+</v>
      </c>
      <c r="BD84" s="18" t="str">
        <f>IF(BB84&lt;50,"0",IF(BB84&lt;=54.99,"4",IF(BB84&lt;=59.99,"5",IF(BB84&lt;=64.99,"6",IF(BB84&lt;=69.99,"7",IF(BB84&lt;=74.99,"8",IF(BB84&lt;=79.99,"9","10")))))))</f>
        <v>7</v>
      </c>
      <c r="BE84" s="28">
        <v>4</v>
      </c>
      <c r="BF84" s="29">
        <f>BD84*BE84</f>
        <v>28</v>
      </c>
      <c r="BG84" s="27">
        <f>AZ84+AS84+AE84+X84+J84+C84+Q84+AL84</f>
        <v>264</v>
      </c>
      <c r="BH84" s="27">
        <f>BA84+AT84+AF84+Y84+K84+D84+R84+AM84</f>
        <v>288</v>
      </c>
      <c r="BI84" s="27">
        <f>BH84+BG84</f>
        <v>552</v>
      </c>
      <c r="BJ84" s="30">
        <f>G84+N84+U84+AB84+AI84+AP84+BD84+AW84</f>
        <v>56</v>
      </c>
      <c r="BK84" s="30">
        <f>I84+P84+W84+AD84+AK84+AY84+BF84+AR84</f>
        <v>224</v>
      </c>
      <c r="BL84" s="25">
        <f>(BN84-0.75)*10</f>
        <v>62.5</v>
      </c>
      <c r="BM84" s="17" t="str">
        <f>IF(OR(C84&lt;20,D84&lt;30,J84&lt;20,K84&lt;30,Q84&lt;20,R84&lt;30,X84&lt;20,Y84&lt;30,AE84&lt;20,AF84&lt;30,AL84&lt;20,AM84&lt;30,AS84&lt;20,AT84&lt;30,AZ84&lt;20,BA84&lt;30),"Unsuccessful","Successful")</f>
        <v>Successful</v>
      </c>
      <c r="BN84" s="31">
        <f>BK84/32</f>
        <v>7</v>
      </c>
      <c r="BO84" s="18" t="str">
        <f>IF(BN84&lt;=4,"F",IF(BN84&lt;=4.5,"P",IF(BN84&lt;=5.5,"C",IF(BN84&lt;=6.5,"B",IF(BN84&lt;=7.5,"B+",IF(BN84&lt;=8.5,"A",IF(BN84&lt;=9.5,"A+","O")))))))</f>
        <v>B+</v>
      </c>
      <c r="BP84" s="14" t="str">
        <f>IF(BN84&lt;=4,"50",IF(BN84&lt;=4.5,"50-54.99",IF(BN84&lt;=5.5,"55-59.99",IF(BN84&lt;=6.5,"60-64.99",IF(BN84&lt;=7.5,"65-69.99",IF(BN84&lt;=8.5,"70-74.99",IF(BN84&lt;=9.5,"75-79.99","10")))))))</f>
        <v>65-69.99</v>
      </c>
      <c r="BS84">
        <f>RANK(BN84,$BN$3:$BN$135)</f>
        <v>68</v>
      </c>
    </row>
    <row r="85" spans="1:71" x14ac:dyDescent="0.25">
      <c r="A85" s="14" t="str">
        <f>[2]Sheet1!$A99</f>
        <v>MMS18-20/098</v>
      </c>
      <c r="B85" s="15" t="str">
        <f>[2]Sheet1!$B99</f>
        <v>SHINDE SAIRAJ VIKAS SHRADHA</v>
      </c>
      <c r="C85" s="16">
        <f>'[3]1st Subject'!$C100</f>
        <v>31</v>
      </c>
      <c r="D85" s="16">
        <f>'[3]1st Subject'!$D100</f>
        <v>38</v>
      </c>
      <c r="E85" s="27">
        <f>D85+C85</f>
        <v>69</v>
      </c>
      <c r="F85" s="18" t="str">
        <f>IF(E85&lt;50,"F",IF(E85&lt;=54.99,"P",IF(E85&lt;=59.99,"C",IF(E85&lt;=64.99,"B",IF(E85&lt;=69.99,"B+",IF(E85&lt;=74.99,"A",IF(E85&lt;=79.99,"A+","O")))))))</f>
        <v>B+</v>
      </c>
      <c r="G85" s="18" t="str">
        <f>IF(E85&lt;50,"0",IF(E85&lt;=54.99,"4",IF(E85&lt;=59.99,"5",IF(E85&lt;=64.99,"6",IF(E85&lt;=69.99,"7",IF(E85&lt;=74.99,"8",IF(E85&lt;=79.99,"9","10")))))))</f>
        <v>7</v>
      </c>
      <c r="H85" s="28">
        <v>4</v>
      </c>
      <c r="I85" s="29">
        <f>G85*H85</f>
        <v>28</v>
      </c>
      <c r="J85" s="16">
        <f>'[4]2nd Subject'!$C100</f>
        <v>31</v>
      </c>
      <c r="K85" s="16">
        <f>'[4]2nd Subject'!$D100</f>
        <v>38</v>
      </c>
      <c r="L85" s="27">
        <f>K85+J85</f>
        <v>69</v>
      </c>
      <c r="M85" s="18" t="str">
        <f>IF(L85&lt;50,"F",IF(L85&lt;=54.99,"P",IF(L85&lt;=59.99,"C",IF(L85&lt;=64.99,"B",IF(L85&lt;=69.99,"B+",IF(L85&lt;=74.99,"A",IF(L85&lt;=79.99,"A+","O")))))))</f>
        <v>B+</v>
      </c>
      <c r="N85" s="18" t="str">
        <f>IF(L85&lt;50,"0",IF(L85&lt;=54.99,"4",IF(L85&lt;=59.99,"5",IF(L85&lt;=64.99,"6",IF(L85&lt;=69.99,"7",IF(L85&lt;=74.99,"8",IF(L85&lt;=79.99,"9","10")))))))</f>
        <v>7</v>
      </c>
      <c r="O85" s="28">
        <v>4</v>
      </c>
      <c r="P85" s="29">
        <f>N85*O85</f>
        <v>28</v>
      </c>
      <c r="Q85" s="21">
        <f>'[5]3rd Subject'!$C100</f>
        <v>31</v>
      </c>
      <c r="R85" s="21">
        <f>'[5]3rd Subject'!$D100</f>
        <v>38</v>
      </c>
      <c r="S85" s="27">
        <f>R85+Q85</f>
        <v>69</v>
      </c>
      <c r="T85" s="18" t="str">
        <f>IF(S85&lt;50,"F",IF(S85&lt;=54.99,"P",IF(S85&lt;=59.99,"C",IF(S85&lt;=64.99,"B",IF(S85&lt;=69.99,"B+",IF(S85&lt;=74.99,"A",IF(S85&lt;=79.99,"A+","O")))))))</f>
        <v>B+</v>
      </c>
      <c r="U85" s="18" t="str">
        <f>IF(S85&lt;50,"0",IF(S85&lt;=54.99,"4",IF(S85&lt;=59.99,"5",IF(S85&lt;=64.99,"6",IF(S85&lt;=69.99,"7",IF(S85&lt;=74.99,"8",IF(S85&lt;=79.99,"9","10")))))))</f>
        <v>7</v>
      </c>
      <c r="V85" s="28">
        <v>4</v>
      </c>
      <c r="W85" s="29">
        <f>U85*V85</f>
        <v>28</v>
      </c>
      <c r="X85" s="22">
        <f>'[6]4th Subject'!$C100</f>
        <v>31</v>
      </c>
      <c r="Y85" s="23">
        <f>'[6]4th Subject'!$D100</f>
        <v>38</v>
      </c>
      <c r="Z85" s="27">
        <f>Y85+X85</f>
        <v>69</v>
      </c>
      <c r="AA85" s="18" t="str">
        <f>IF(Z85&lt;50,"F",IF(Z85&lt;=54.99,"P",IF(Z85&lt;=59.99,"C",IF(Z85&lt;=64.99,"B",IF(Z85&lt;=69.99,"B+",IF(Z85&lt;=74.99,"A",IF(Z85&lt;=79.99,"A+","O")))))))</f>
        <v>B+</v>
      </c>
      <c r="AB85" s="18" t="str">
        <f>IF(Z85&lt;50,"0",IF(Z85&lt;=54.99,"4",IF(Z85&lt;=59.99,"5",IF(Z85&lt;=64.99,"6",IF(Z85&lt;=69.99,"7",IF(Z85&lt;=74.99,"8",IF(Z85&lt;=79.99,"9","10")))))))</f>
        <v>7</v>
      </c>
      <c r="AC85" s="28">
        <v>4</v>
      </c>
      <c r="AD85" s="29">
        <f>AB85*AC85</f>
        <v>28</v>
      </c>
      <c r="AE85" s="22">
        <f>'[7]5th Subject'!$C100</f>
        <v>31</v>
      </c>
      <c r="AF85" s="23">
        <f>'[7]5th Subject'!$D100</f>
        <v>38</v>
      </c>
      <c r="AG85" s="27">
        <f>AF85+AE85</f>
        <v>69</v>
      </c>
      <c r="AH85" s="18" t="str">
        <f>IF(AG85&lt;50,"F",IF(AG85&lt;=54.99,"P",IF(AG85&lt;=59.99,"C",IF(AG85&lt;=64.99,"B",IF(AG85&lt;=69.99,"B+",IF(AG85&lt;=74.99,"A",IF(AG85&lt;=79.99,"A+","O")))))))</f>
        <v>B+</v>
      </c>
      <c r="AI85" s="18" t="str">
        <f>IF(AG85&lt;50,"0",IF(AG85&lt;=54.99,"4",IF(AG85&lt;=59.99,"5",IF(AG85&lt;=64.99,"6",IF(AG85&lt;=69.99,"7",IF(AG85&lt;=74.99,"8",IF(AG85&lt;=79.99,"9","10")))))))</f>
        <v>7</v>
      </c>
      <c r="AJ85" s="28">
        <v>4</v>
      </c>
      <c r="AK85" s="29">
        <f>AI85*AJ85</f>
        <v>28</v>
      </c>
      <c r="AL85" s="22">
        <f>'[8]6th Subject'!$C100</f>
        <v>31</v>
      </c>
      <c r="AM85" s="22">
        <f>'[8]6th Subject'!$D100</f>
        <v>38</v>
      </c>
      <c r="AN85" s="27">
        <f>AM85+AL85</f>
        <v>69</v>
      </c>
      <c r="AO85" s="18" t="str">
        <f>IF(AN85&lt;50,"F",IF(AN85&lt;=54.99,"P",IF(AN85&lt;=59.99,"C",IF(AN85&lt;=64.99,"B",IF(AN85&lt;=69.99,"B+",IF(AN85&lt;=74.99,"A",IF(AN85&lt;=79.99,"A+","O")))))))</f>
        <v>B+</v>
      </c>
      <c r="AP85" s="18" t="str">
        <f>IF(AN85&lt;50,"0",IF(AN85&lt;=54.99,"4",IF(AN85&lt;=59.99,"5",IF(AN85&lt;=64.99,"6",IF(AN85&lt;=69.99,"7",IF(AN85&lt;=74.99,"8",IF(AN85&lt;=79.99,"9","10")))))))</f>
        <v>7</v>
      </c>
      <c r="AQ85" s="28">
        <v>4</v>
      </c>
      <c r="AR85" s="29">
        <f>AP85*AQ85</f>
        <v>28</v>
      </c>
      <c r="AS85" s="16">
        <f>'[9]7th Subject'!$C100</f>
        <v>31</v>
      </c>
      <c r="AT85" s="16">
        <f>'[9]7th Subject'!$D100</f>
        <v>38</v>
      </c>
      <c r="AU85" s="27">
        <f>AT85+AS85</f>
        <v>69</v>
      </c>
      <c r="AV85" s="18" t="str">
        <f>IF(AU85&lt;50,"F",IF(AU85&lt;=54.99,"P",IF(AU85&lt;=59.99,"C",IF(AU85&lt;=64.99,"B",IF(AU85&lt;=69.99,"B+",IF(AU85&lt;=74.99,"A",IF(AU85&lt;=79.99,"A+","O")))))))</f>
        <v>B+</v>
      </c>
      <c r="AW85" s="18" t="str">
        <f>IF(AU85&lt;50,"0",IF(AU85&lt;=54.99,"4",IF(AU85&lt;=59.99,"5",IF(AU85&lt;=64.99,"6",IF(AU85&lt;=69.99,"7",IF(AU85&lt;=74.99,"8",IF(AU85&lt;=79.99,"9","10")))))))</f>
        <v>7</v>
      </c>
      <c r="AX85" s="28">
        <v>4</v>
      </c>
      <c r="AY85" s="29">
        <f>AW85*AX85</f>
        <v>28</v>
      </c>
      <c r="AZ85" s="22">
        <f>'[10]8th Subject'!$C100</f>
        <v>31</v>
      </c>
      <c r="BA85" s="22">
        <f>'[10]8th Subject'!$D100</f>
        <v>38</v>
      </c>
      <c r="BB85" s="27">
        <f>BA85+AZ85</f>
        <v>69</v>
      </c>
      <c r="BC85" s="18" t="str">
        <f>IF(BB85&lt;50,"F",IF(BB85&lt;=54.99,"P",IF(BB85&lt;=59.99,"C",IF(BB85&lt;=64.99,"B",IF(BB85&lt;=69.99,"B+",IF(BB85&lt;=74.99,"A",IF(BB85&lt;=79.99,"A+","O")))))))</f>
        <v>B+</v>
      </c>
      <c r="BD85" s="18" t="str">
        <f>IF(BB85&lt;50,"0",IF(BB85&lt;=54.99,"4",IF(BB85&lt;=59.99,"5",IF(BB85&lt;=64.99,"6",IF(BB85&lt;=69.99,"7",IF(BB85&lt;=74.99,"8",IF(BB85&lt;=79.99,"9","10")))))))</f>
        <v>7</v>
      </c>
      <c r="BE85" s="28">
        <v>4</v>
      </c>
      <c r="BF85" s="29">
        <f>BD85*BE85</f>
        <v>28</v>
      </c>
      <c r="BG85" s="27">
        <f>AZ85+AS85+AE85+X85+J85+C85+Q85+AL85</f>
        <v>248</v>
      </c>
      <c r="BH85" s="27">
        <f>BA85+AT85+AF85+Y85+K85+D85+R85+AM85</f>
        <v>304</v>
      </c>
      <c r="BI85" s="27">
        <f>BH85+BG85</f>
        <v>552</v>
      </c>
      <c r="BJ85" s="30">
        <f>G85+N85+U85+AB85+AI85+AP85+BD85+AW85</f>
        <v>56</v>
      </c>
      <c r="BK85" s="30">
        <f>I85+P85+W85+AD85+AK85+AY85+BF85+AR85</f>
        <v>224</v>
      </c>
      <c r="BL85" s="25">
        <f>(BN85-0.75)*10</f>
        <v>62.5</v>
      </c>
      <c r="BM85" s="17" t="str">
        <f>IF(OR(C85&lt;20,D85&lt;30,J85&lt;20,K85&lt;30,Q85&lt;20,R85&lt;30,X85&lt;20,Y85&lt;30,AE85&lt;20,AF85&lt;30,AL85&lt;20,AM85&lt;30,AS85&lt;20,AT85&lt;30,AZ85&lt;20,BA85&lt;30),"Unsuccessful","Successful")</f>
        <v>Successful</v>
      </c>
      <c r="BN85" s="31">
        <f>BK85/32</f>
        <v>7</v>
      </c>
      <c r="BO85" s="18" t="str">
        <f>IF(BN85&lt;=4,"F",IF(BN85&lt;=4.5,"P",IF(BN85&lt;=5.5,"C",IF(BN85&lt;=6.5,"B",IF(BN85&lt;=7.5,"B+",IF(BN85&lt;=8.5,"A",IF(BN85&lt;=9.5,"A+","O")))))))</f>
        <v>B+</v>
      </c>
      <c r="BP85" s="14" t="str">
        <f>IF(BN85&lt;=4,"50",IF(BN85&lt;=4.5,"50-54.99",IF(BN85&lt;=5.5,"55-59.99",IF(BN85&lt;=6.5,"60-64.99",IF(BN85&lt;=7.5,"65-69.99",IF(BN85&lt;=8.5,"70-74.99",IF(BN85&lt;=9.5,"75-79.99","10")))))))</f>
        <v>65-69.99</v>
      </c>
      <c r="BS85">
        <f>RANK(BN85,$BN$3:$BN$135)</f>
        <v>68</v>
      </c>
    </row>
    <row r="86" spans="1:71" x14ac:dyDescent="0.25">
      <c r="A86" s="14" t="str">
        <f>[2]Sheet1!$A105</f>
        <v>MMS18-20/104</v>
      </c>
      <c r="B86" s="15" t="str">
        <f>[2]Sheet1!$B105</f>
        <v>/SINGH VARSHA GURUPRASAD VEENA</v>
      </c>
      <c r="C86" s="16">
        <f>'[3]1st Subject'!$C106</f>
        <v>33</v>
      </c>
      <c r="D86" s="16">
        <f>'[3]1st Subject'!$D106</f>
        <v>36</v>
      </c>
      <c r="E86" s="27">
        <f>D86+C86</f>
        <v>69</v>
      </c>
      <c r="F86" s="18" t="str">
        <f>IF(E86&lt;50,"F",IF(E86&lt;=54.99,"P",IF(E86&lt;=59.99,"C",IF(E86&lt;=64.99,"B",IF(E86&lt;=69.99,"B+",IF(E86&lt;=74.99,"A",IF(E86&lt;=79.99,"A+","O")))))))</f>
        <v>B+</v>
      </c>
      <c r="G86" s="18" t="str">
        <f>IF(E86&lt;50,"0",IF(E86&lt;=54.99,"4",IF(E86&lt;=59.99,"5",IF(E86&lt;=64.99,"6",IF(E86&lt;=69.99,"7",IF(E86&lt;=74.99,"8",IF(E86&lt;=79.99,"9","10")))))))</f>
        <v>7</v>
      </c>
      <c r="H86" s="28">
        <v>4</v>
      </c>
      <c r="I86" s="29">
        <f>G86*H86</f>
        <v>28</v>
      </c>
      <c r="J86" s="16">
        <f>'[4]2nd Subject'!$C106</f>
        <v>33</v>
      </c>
      <c r="K86" s="16">
        <f>'[4]2nd Subject'!$D106</f>
        <v>36</v>
      </c>
      <c r="L86" s="27">
        <f>K86+J86</f>
        <v>69</v>
      </c>
      <c r="M86" s="18" t="str">
        <f>IF(L86&lt;50,"F",IF(L86&lt;=54.99,"P",IF(L86&lt;=59.99,"C",IF(L86&lt;=64.99,"B",IF(L86&lt;=69.99,"B+",IF(L86&lt;=74.99,"A",IF(L86&lt;=79.99,"A+","O")))))))</f>
        <v>B+</v>
      </c>
      <c r="N86" s="18" t="str">
        <f>IF(L86&lt;50,"0",IF(L86&lt;=54.99,"4",IF(L86&lt;=59.99,"5",IF(L86&lt;=64.99,"6",IF(L86&lt;=69.99,"7",IF(L86&lt;=74.99,"8",IF(L86&lt;=79.99,"9","10")))))))</f>
        <v>7</v>
      </c>
      <c r="O86" s="28">
        <v>4</v>
      </c>
      <c r="P86" s="29">
        <f>N86*O86</f>
        <v>28</v>
      </c>
      <c r="Q86" s="21">
        <f>'[5]3rd Subject'!$C106</f>
        <v>33</v>
      </c>
      <c r="R86" s="21">
        <f>'[5]3rd Subject'!$D106</f>
        <v>36</v>
      </c>
      <c r="S86" s="27">
        <f>R86+Q86</f>
        <v>69</v>
      </c>
      <c r="T86" s="18" t="str">
        <f>IF(S86&lt;50,"F",IF(S86&lt;=54.99,"P",IF(S86&lt;=59.99,"C",IF(S86&lt;=64.99,"B",IF(S86&lt;=69.99,"B+",IF(S86&lt;=74.99,"A",IF(S86&lt;=79.99,"A+","O")))))))</f>
        <v>B+</v>
      </c>
      <c r="U86" s="18" t="str">
        <f>IF(S86&lt;50,"0",IF(S86&lt;=54.99,"4",IF(S86&lt;=59.99,"5",IF(S86&lt;=64.99,"6",IF(S86&lt;=69.99,"7",IF(S86&lt;=74.99,"8",IF(S86&lt;=79.99,"9","10")))))))</f>
        <v>7</v>
      </c>
      <c r="V86" s="28">
        <v>4</v>
      </c>
      <c r="W86" s="29">
        <f>U86*V86</f>
        <v>28</v>
      </c>
      <c r="X86" s="22">
        <f>'[6]4th Subject'!$C106</f>
        <v>33</v>
      </c>
      <c r="Y86" s="23">
        <f>'[6]4th Subject'!$D106</f>
        <v>36</v>
      </c>
      <c r="Z86" s="27">
        <f>Y86+X86</f>
        <v>69</v>
      </c>
      <c r="AA86" s="18" t="str">
        <f>IF(Z86&lt;50,"F",IF(Z86&lt;=54.99,"P",IF(Z86&lt;=59.99,"C",IF(Z86&lt;=64.99,"B",IF(Z86&lt;=69.99,"B+",IF(Z86&lt;=74.99,"A",IF(Z86&lt;=79.99,"A+","O")))))))</f>
        <v>B+</v>
      </c>
      <c r="AB86" s="18" t="str">
        <f>IF(Z86&lt;50,"0",IF(Z86&lt;=54.99,"4",IF(Z86&lt;=59.99,"5",IF(Z86&lt;=64.99,"6",IF(Z86&lt;=69.99,"7",IF(Z86&lt;=74.99,"8",IF(Z86&lt;=79.99,"9","10")))))))</f>
        <v>7</v>
      </c>
      <c r="AC86" s="28">
        <v>4</v>
      </c>
      <c r="AD86" s="29">
        <f>AB86*AC86</f>
        <v>28</v>
      </c>
      <c r="AE86" s="22">
        <f>'[7]5th Subject'!$C106</f>
        <v>33</v>
      </c>
      <c r="AF86" s="23">
        <f>'[7]5th Subject'!$D106</f>
        <v>36</v>
      </c>
      <c r="AG86" s="27">
        <f>AF86+AE86</f>
        <v>69</v>
      </c>
      <c r="AH86" s="18" t="str">
        <f>IF(AG86&lt;50,"F",IF(AG86&lt;=54.99,"P",IF(AG86&lt;=59.99,"C",IF(AG86&lt;=64.99,"B",IF(AG86&lt;=69.99,"B+",IF(AG86&lt;=74.99,"A",IF(AG86&lt;=79.99,"A+","O")))))))</f>
        <v>B+</v>
      </c>
      <c r="AI86" s="18" t="str">
        <f>IF(AG86&lt;50,"0",IF(AG86&lt;=54.99,"4",IF(AG86&lt;=59.99,"5",IF(AG86&lt;=64.99,"6",IF(AG86&lt;=69.99,"7",IF(AG86&lt;=74.99,"8",IF(AG86&lt;=79.99,"9","10")))))))</f>
        <v>7</v>
      </c>
      <c r="AJ86" s="28">
        <v>4</v>
      </c>
      <c r="AK86" s="29">
        <f>AI86*AJ86</f>
        <v>28</v>
      </c>
      <c r="AL86" s="22">
        <f>'[8]6th Subject'!$C106</f>
        <v>33</v>
      </c>
      <c r="AM86" s="22">
        <f>'[8]6th Subject'!$D106</f>
        <v>36</v>
      </c>
      <c r="AN86" s="27">
        <f>AM86+AL86</f>
        <v>69</v>
      </c>
      <c r="AO86" s="18" t="str">
        <f>IF(AN86&lt;50,"F",IF(AN86&lt;=54.99,"P",IF(AN86&lt;=59.99,"C",IF(AN86&lt;=64.99,"B",IF(AN86&lt;=69.99,"B+",IF(AN86&lt;=74.99,"A",IF(AN86&lt;=79.99,"A+","O")))))))</f>
        <v>B+</v>
      </c>
      <c r="AP86" s="18" t="str">
        <f>IF(AN86&lt;50,"0",IF(AN86&lt;=54.99,"4",IF(AN86&lt;=59.99,"5",IF(AN86&lt;=64.99,"6",IF(AN86&lt;=69.99,"7",IF(AN86&lt;=74.99,"8",IF(AN86&lt;=79.99,"9","10")))))))</f>
        <v>7</v>
      </c>
      <c r="AQ86" s="28">
        <v>4</v>
      </c>
      <c r="AR86" s="29">
        <f>AP86*AQ86</f>
        <v>28</v>
      </c>
      <c r="AS86" s="16">
        <f>'[9]7th Subject'!$C106</f>
        <v>33</v>
      </c>
      <c r="AT86" s="16">
        <f>'[9]7th Subject'!$D106</f>
        <v>36</v>
      </c>
      <c r="AU86" s="27">
        <f>AT86+AS86</f>
        <v>69</v>
      </c>
      <c r="AV86" s="18" t="str">
        <f>IF(AU86&lt;50,"F",IF(AU86&lt;=54.99,"P",IF(AU86&lt;=59.99,"C",IF(AU86&lt;=64.99,"B",IF(AU86&lt;=69.99,"B+",IF(AU86&lt;=74.99,"A",IF(AU86&lt;=79.99,"A+","O")))))))</f>
        <v>B+</v>
      </c>
      <c r="AW86" s="18" t="str">
        <f>IF(AU86&lt;50,"0",IF(AU86&lt;=54.99,"4",IF(AU86&lt;=59.99,"5",IF(AU86&lt;=64.99,"6",IF(AU86&lt;=69.99,"7",IF(AU86&lt;=74.99,"8",IF(AU86&lt;=79.99,"9","10")))))))</f>
        <v>7</v>
      </c>
      <c r="AX86" s="28">
        <v>4</v>
      </c>
      <c r="AY86" s="29">
        <f>AW86*AX86</f>
        <v>28</v>
      </c>
      <c r="AZ86" s="22">
        <f>'[10]8th Subject'!$C106</f>
        <v>33</v>
      </c>
      <c r="BA86" s="22">
        <f>'[10]8th Subject'!$D106</f>
        <v>36</v>
      </c>
      <c r="BB86" s="27">
        <f>BA86+AZ86</f>
        <v>69</v>
      </c>
      <c r="BC86" s="18" t="str">
        <f>IF(BB86&lt;50,"F",IF(BB86&lt;=54.99,"P",IF(BB86&lt;=59.99,"C",IF(BB86&lt;=64.99,"B",IF(BB86&lt;=69.99,"B+",IF(BB86&lt;=74.99,"A",IF(BB86&lt;=79.99,"A+","O")))))))</f>
        <v>B+</v>
      </c>
      <c r="BD86" s="18" t="str">
        <f>IF(BB86&lt;50,"0",IF(BB86&lt;=54.99,"4",IF(BB86&lt;=59.99,"5",IF(BB86&lt;=64.99,"6",IF(BB86&lt;=69.99,"7",IF(BB86&lt;=74.99,"8",IF(BB86&lt;=79.99,"9","10")))))))</f>
        <v>7</v>
      </c>
      <c r="BE86" s="28">
        <v>4</v>
      </c>
      <c r="BF86" s="29">
        <f>BD86*BE86</f>
        <v>28</v>
      </c>
      <c r="BG86" s="27">
        <f>AZ86+AS86+AE86+X86+J86+C86+Q86+AL86</f>
        <v>264</v>
      </c>
      <c r="BH86" s="27">
        <f>BA86+AT86+AF86+Y86+K86+D86+R86+AM86</f>
        <v>288</v>
      </c>
      <c r="BI86" s="27">
        <f>BH86+BG86</f>
        <v>552</v>
      </c>
      <c r="BJ86" s="30">
        <f>G86+N86+U86+AB86+AI86+AP86+BD86+AW86</f>
        <v>56</v>
      </c>
      <c r="BK86" s="30">
        <f>I86+P86+W86+AD86+AK86+AY86+BF86+AR86</f>
        <v>224</v>
      </c>
      <c r="BL86" s="25">
        <f>(BN86-0.75)*10</f>
        <v>62.5</v>
      </c>
      <c r="BM86" s="17" t="str">
        <f>IF(OR(C86&lt;20,D86&lt;30,J86&lt;20,K86&lt;30,Q86&lt;20,R86&lt;30,X86&lt;20,Y86&lt;30,AE86&lt;20,AF86&lt;30,AL86&lt;20,AM86&lt;30,AS86&lt;20,AT86&lt;30,AZ86&lt;20,BA86&lt;30),"Unsuccessful","Successful")</f>
        <v>Successful</v>
      </c>
      <c r="BN86" s="31">
        <f>BK86/32</f>
        <v>7</v>
      </c>
      <c r="BO86" s="18" t="str">
        <f>IF(BN86&lt;=4,"F",IF(BN86&lt;=4.5,"P",IF(BN86&lt;=5.5,"C",IF(BN86&lt;=6.5,"B",IF(BN86&lt;=7.5,"B+",IF(BN86&lt;=8.5,"A",IF(BN86&lt;=9.5,"A+","O")))))))</f>
        <v>B+</v>
      </c>
      <c r="BP86" s="14" t="str">
        <f>IF(BN86&lt;=4,"50",IF(BN86&lt;=4.5,"50-54.99",IF(BN86&lt;=5.5,"55-59.99",IF(BN86&lt;=6.5,"60-64.99",IF(BN86&lt;=7.5,"65-69.99",IF(BN86&lt;=8.5,"70-74.99",IF(BN86&lt;=9.5,"75-79.99","10")))))))</f>
        <v>65-69.99</v>
      </c>
      <c r="BS86">
        <f>RANK(BN86,$BN$3:$BN$135)</f>
        <v>68</v>
      </c>
    </row>
    <row r="87" spans="1:71" x14ac:dyDescent="0.25">
      <c r="A87" s="14" t="str">
        <f>[2]Sheet1!$A110</f>
        <v>MMS18-20/109</v>
      </c>
      <c r="B87" s="15" t="str">
        <f>[2]Sheet1!$B110</f>
        <v>/TALELE BHOOMA GHANASHYAM KALPANA</v>
      </c>
      <c r="C87" s="16">
        <f>'[3]1st Subject'!$C111</f>
        <v>31</v>
      </c>
      <c r="D87" s="16">
        <f>'[3]1st Subject'!$D111</f>
        <v>38</v>
      </c>
      <c r="E87" s="27">
        <f>D87+C87</f>
        <v>69</v>
      </c>
      <c r="F87" s="18" t="str">
        <f>IF(E87&lt;50,"F",IF(E87&lt;=54.99,"P",IF(E87&lt;=59.99,"C",IF(E87&lt;=64.99,"B",IF(E87&lt;=69.99,"B+",IF(E87&lt;=74.99,"A",IF(E87&lt;=79.99,"A+","O")))))))</f>
        <v>B+</v>
      </c>
      <c r="G87" s="18" t="str">
        <f>IF(E87&lt;50,"0",IF(E87&lt;=54.99,"4",IF(E87&lt;=59.99,"5",IF(E87&lt;=64.99,"6",IF(E87&lt;=69.99,"7",IF(E87&lt;=74.99,"8",IF(E87&lt;=79.99,"9","10")))))))</f>
        <v>7</v>
      </c>
      <c r="H87" s="28">
        <v>4</v>
      </c>
      <c r="I87" s="29">
        <f>G87*H87</f>
        <v>28</v>
      </c>
      <c r="J87" s="16">
        <f>'[4]2nd Subject'!$C111</f>
        <v>31</v>
      </c>
      <c r="K87" s="16">
        <f>'[4]2nd Subject'!$D111</f>
        <v>38</v>
      </c>
      <c r="L87" s="27">
        <f>K87+J87</f>
        <v>69</v>
      </c>
      <c r="M87" s="18" t="str">
        <f>IF(L87&lt;50,"F",IF(L87&lt;=54.99,"P",IF(L87&lt;=59.99,"C",IF(L87&lt;=64.99,"B",IF(L87&lt;=69.99,"B+",IF(L87&lt;=74.99,"A",IF(L87&lt;=79.99,"A+","O")))))))</f>
        <v>B+</v>
      </c>
      <c r="N87" s="18" t="str">
        <f>IF(L87&lt;50,"0",IF(L87&lt;=54.99,"4",IF(L87&lt;=59.99,"5",IF(L87&lt;=64.99,"6",IF(L87&lt;=69.99,"7",IF(L87&lt;=74.99,"8",IF(L87&lt;=79.99,"9","10")))))))</f>
        <v>7</v>
      </c>
      <c r="O87" s="28">
        <v>4</v>
      </c>
      <c r="P87" s="29">
        <f>N87*O87</f>
        <v>28</v>
      </c>
      <c r="Q87" s="21">
        <f>'[5]3rd Subject'!$C111</f>
        <v>31</v>
      </c>
      <c r="R87" s="21">
        <f>'[5]3rd Subject'!$D111</f>
        <v>38</v>
      </c>
      <c r="S87" s="27">
        <f>R87+Q87</f>
        <v>69</v>
      </c>
      <c r="T87" s="18" t="str">
        <f>IF(S87&lt;50,"F",IF(S87&lt;=54.99,"P",IF(S87&lt;=59.99,"C",IF(S87&lt;=64.99,"B",IF(S87&lt;=69.99,"B+",IF(S87&lt;=74.99,"A",IF(S87&lt;=79.99,"A+","O")))))))</f>
        <v>B+</v>
      </c>
      <c r="U87" s="18" t="str">
        <f>IF(S87&lt;50,"0",IF(S87&lt;=54.99,"4",IF(S87&lt;=59.99,"5",IF(S87&lt;=64.99,"6",IF(S87&lt;=69.99,"7",IF(S87&lt;=74.99,"8",IF(S87&lt;=79.99,"9","10")))))))</f>
        <v>7</v>
      </c>
      <c r="V87" s="28">
        <v>4</v>
      </c>
      <c r="W87" s="29">
        <f>U87*V87</f>
        <v>28</v>
      </c>
      <c r="X87" s="22">
        <f>'[6]4th Subject'!$C111</f>
        <v>31</v>
      </c>
      <c r="Y87" s="23">
        <f>'[6]4th Subject'!$D111</f>
        <v>38</v>
      </c>
      <c r="Z87" s="27">
        <f>Y87+X87</f>
        <v>69</v>
      </c>
      <c r="AA87" s="18" t="str">
        <f>IF(Z87&lt;50,"F",IF(Z87&lt;=54.99,"P",IF(Z87&lt;=59.99,"C",IF(Z87&lt;=64.99,"B",IF(Z87&lt;=69.99,"B+",IF(Z87&lt;=74.99,"A",IF(Z87&lt;=79.99,"A+","O")))))))</f>
        <v>B+</v>
      </c>
      <c r="AB87" s="18" t="str">
        <f>IF(Z87&lt;50,"0",IF(Z87&lt;=54.99,"4",IF(Z87&lt;=59.99,"5",IF(Z87&lt;=64.99,"6",IF(Z87&lt;=69.99,"7",IF(Z87&lt;=74.99,"8",IF(Z87&lt;=79.99,"9","10")))))))</f>
        <v>7</v>
      </c>
      <c r="AC87" s="28">
        <v>4</v>
      </c>
      <c r="AD87" s="29">
        <f>AB87*AC87</f>
        <v>28</v>
      </c>
      <c r="AE87" s="22">
        <f>'[7]5th Subject'!$C111</f>
        <v>31</v>
      </c>
      <c r="AF87" s="23">
        <f>'[7]5th Subject'!$D111</f>
        <v>38</v>
      </c>
      <c r="AG87" s="27">
        <f>AF87+AE87</f>
        <v>69</v>
      </c>
      <c r="AH87" s="18" t="str">
        <f>IF(AG87&lt;50,"F",IF(AG87&lt;=54.99,"P",IF(AG87&lt;=59.99,"C",IF(AG87&lt;=64.99,"B",IF(AG87&lt;=69.99,"B+",IF(AG87&lt;=74.99,"A",IF(AG87&lt;=79.99,"A+","O")))))))</f>
        <v>B+</v>
      </c>
      <c r="AI87" s="18" t="str">
        <f>IF(AG87&lt;50,"0",IF(AG87&lt;=54.99,"4",IF(AG87&lt;=59.99,"5",IF(AG87&lt;=64.99,"6",IF(AG87&lt;=69.99,"7",IF(AG87&lt;=74.99,"8",IF(AG87&lt;=79.99,"9","10")))))))</f>
        <v>7</v>
      </c>
      <c r="AJ87" s="28">
        <v>4</v>
      </c>
      <c r="AK87" s="29">
        <f>AI87*AJ87</f>
        <v>28</v>
      </c>
      <c r="AL87" s="22">
        <f>'[8]6th Subject'!$C111</f>
        <v>31</v>
      </c>
      <c r="AM87" s="22">
        <f>'[8]6th Subject'!$D111</f>
        <v>38</v>
      </c>
      <c r="AN87" s="27">
        <f>AM87+AL87</f>
        <v>69</v>
      </c>
      <c r="AO87" s="18" t="str">
        <f>IF(AN87&lt;50,"F",IF(AN87&lt;=54.99,"P",IF(AN87&lt;=59.99,"C",IF(AN87&lt;=64.99,"B",IF(AN87&lt;=69.99,"B+",IF(AN87&lt;=74.99,"A",IF(AN87&lt;=79.99,"A+","O")))))))</f>
        <v>B+</v>
      </c>
      <c r="AP87" s="18" t="str">
        <f>IF(AN87&lt;50,"0",IF(AN87&lt;=54.99,"4",IF(AN87&lt;=59.99,"5",IF(AN87&lt;=64.99,"6",IF(AN87&lt;=69.99,"7",IF(AN87&lt;=74.99,"8",IF(AN87&lt;=79.99,"9","10")))))))</f>
        <v>7</v>
      </c>
      <c r="AQ87" s="28">
        <v>4</v>
      </c>
      <c r="AR87" s="29">
        <f>AP87*AQ87</f>
        <v>28</v>
      </c>
      <c r="AS87" s="16">
        <f>'[9]7th Subject'!$C111</f>
        <v>31</v>
      </c>
      <c r="AT87" s="16">
        <f>'[9]7th Subject'!$D111</f>
        <v>38</v>
      </c>
      <c r="AU87" s="27">
        <f>AT87+AS87</f>
        <v>69</v>
      </c>
      <c r="AV87" s="18" t="str">
        <f>IF(AU87&lt;50,"F",IF(AU87&lt;=54.99,"P",IF(AU87&lt;=59.99,"C",IF(AU87&lt;=64.99,"B",IF(AU87&lt;=69.99,"B+",IF(AU87&lt;=74.99,"A",IF(AU87&lt;=79.99,"A+","O")))))))</f>
        <v>B+</v>
      </c>
      <c r="AW87" s="18" t="str">
        <f>IF(AU87&lt;50,"0",IF(AU87&lt;=54.99,"4",IF(AU87&lt;=59.99,"5",IF(AU87&lt;=64.99,"6",IF(AU87&lt;=69.99,"7",IF(AU87&lt;=74.99,"8",IF(AU87&lt;=79.99,"9","10")))))))</f>
        <v>7</v>
      </c>
      <c r="AX87" s="28">
        <v>4</v>
      </c>
      <c r="AY87" s="29">
        <f>AW87*AX87</f>
        <v>28</v>
      </c>
      <c r="AZ87" s="22">
        <f>'[10]8th Subject'!$C111</f>
        <v>31</v>
      </c>
      <c r="BA87" s="22">
        <f>'[10]8th Subject'!$D111</f>
        <v>38</v>
      </c>
      <c r="BB87" s="27">
        <f>BA87+AZ87</f>
        <v>69</v>
      </c>
      <c r="BC87" s="18" t="str">
        <f>IF(BB87&lt;50,"F",IF(BB87&lt;=54.99,"P",IF(BB87&lt;=59.99,"C",IF(BB87&lt;=64.99,"B",IF(BB87&lt;=69.99,"B+",IF(BB87&lt;=74.99,"A",IF(BB87&lt;=79.99,"A+","O")))))))</f>
        <v>B+</v>
      </c>
      <c r="BD87" s="18" t="str">
        <f>IF(BB87&lt;50,"0",IF(BB87&lt;=54.99,"4",IF(BB87&lt;=59.99,"5",IF(BB87&lt;=64.99,"6",IF(BB87&lt;=69.99,"7",IF(BB87&lt;=74.99,"8",IF(BB87&lt;=79.99,"9","10")))))))</f>
        <v>7</v>
      </c>
      <c r="BE87" s="28">
        <v>4</v>
      </c>
      <c r="BF87" s="29">
        <f>BD87*BE87</f>
        <v>28</v>
      </c>
      <c r="BG87" s="27">
        <f>AZ87+AS87+AE87+X87+J87+C87+Q87+AL87</f>
        <v>248</v>
      </c>
      <c r="BH87" s="27">
        <f>BA87+AT87+AF87+Y87+K87+D87+R87+AM87</f>
        <v>304</v>
      </c>
      <c r="BI87" s="27">
        <f>BH87+BG87</f>
        <v>552</v>
      </c>
      <c r="BJ87" s="30">
        <f>G87+N87+U87+AB87+AI87+AP87+BD87+AW87</f>
        <v>56</v>
      </c>
      <c r="BK87" s="30">
        <f>I87+P87+W87+AD87+AK87+AY87+BF87+AR87</f>
        <v>224</v>
      </c>
      <c r="BL87" s="25">
        <f>(BN87-0.75)*10</f>
        <v>62.5</v>
      </c>
      <c r="BM87" s="17" t="str">
        <f>IF(OR(C87&lt;20,D87&lt;30,J87&lt;20,K87&lt;30,Q87&lt;20,R87&lt;30,X87&lt;20,Y87&lt;30,AE87&lt;20,AF87&lt;30,AL87&lt;20,AM87&lt;30,AS87&lt;20,AT87&lt;30,AZ87&lt;20,BA87&lt;30),"Unsuccessful","Successful")</f>
        <v>Successful</v>
      </c>
      <c r="BN87" s="31">
        <f>BK87/32</f>
        <v>7</v>
      </c>
      <c r="BO87" s="18" t="str">
        <f>IF(BN87&lt;=4,"F",IF(BN87&lt;=4.5,"P",IF(BN87&lt;=5.5,"C",IF(BN87&lt;=6.5,"B",IF(BN87&lt;=7.5,"B+",IF(BN87&lt;=8.5,"A",IF(BN87&lt;=9.5,"A+","O")))))))</f>
        <v>B+</v>
      </c>
      <c r="BP87" s="14" t="str">
        <f>IF(BN87&lt;=4,"50",IF(BN87&lt;=4.5,"50-54.99",IF(BN87&lt;=5.5,"55-59.99",IF(BN87&lt;=6.5,"60-64.99",IF(BN87&lt;=7.5,"65-69.99",IF(BN87&lt;=8.5,"70-74.99",IF(BN87&lt;=9.5,"75-79.99","10")))))))</f>
        <v>65-69.99</v>
      </c>
      <c r="BS87">
        <f>RANK(BN87,$BN$3:$BN$135)</f>
        <v>68</v>
      </c>
    </row>
    <row r="88" spans="1:71" x14ac:dyDescent="0.25">
      <c r="A88" s="14" t="str">
        <f>[2]Sheet1!$A116</f>
        <v>MMS18-20/115</v>
      </c>
      <c r="B88" s="15" t="str">
        <f>[2]Sheet1!$B116</f>
        <v>/WAGHMARE SHEETAL SURYAKANT SUNANDA</v>
      </c>
      <c r="C88" s="16">
        <f>'[3]1st Subject'!$C117</f>
        <v>33</v>
      </c>
      <c r="D88" s="16">
        <f>'[3]1st Subject'!$D117</f>
        <v>36</v>
      </c>
      <c r="E88" s="27">
        <f>D88+C88</f>
        <v>69</v>
      </c>
      <c r="F88" s="18" t="str">
        <f>IF(E88&lt;50,"F",IF(E88&lt;=54.99,"P",IF(E88&lt;=59.99,"C",IF(E88&lt;=64.99,"B",IF(E88&lt;=69.99,"B+",IF(E88&lt;=74.99,"A",IF(E88&lt;=79.99,"A+","O")))))))</f>
        <v>B+</v>
      </c>
      <c r="G88" s="18" t="str">
        <f>IF(E88&lt;50,"0",IF(E88&lt;=54.99,"4",IF(E88&lt;=59.99,"5",IF(E88&lt;=64.99,"6",IF(E88&lt;=69.99,"7",IF(E88&lt;=74.99,"8",IF(E88&lt;=79.99,"9","10")))))))</f>
        <v>7</v>
      </c>
      <c r="H88" s="28">
        <v>4</v>
      </c>
      <c r="I88" s="29">
        <f>G88*H88</f>
        <v>28</v>
      </c>
      <c r="J88" s="16">
        <f>'[4]2nd Subject'!$C117</f>
        <v>33</v>
      </c>
      <c r="K88" s="16">
        <f>'[4]2nd Subject'!$D117</f>
        <v>36</v>
      </c>
      <c r="L88" s="27">
        <f>K88+J88</f>
        <v>69</v>
      </c>
      <c r="M88" s="18" t="str">
        <f>IF(L88&lt;50,"F",IF(L88&lt;=54.99,"P",IF(L88&lt;=59.99,"C",IF(L88&lt;=64.99,"B",IF(L88&lt;=69.99,"B+",IF(L88&lt;=74.99,"A",IF(L88&lt;=79.99,"A+","O")))))))</f>
        <v>B+</v>
      </c>
      <c r="N88" s="18" t="str">
        <f>IF(L88&lt;50,"0",IF(L88&lt;=54.99,"4",IF(L88&lt;=59.99,"5",IF(L88&lt;=64.99,"6",IF(L88&lt;=69.99,"7",IF(L88&lt;=74.99,"8",IF(L88&lt;=79.99,"9","10")))))))</f>
        <v>7</v>
      </c>
      <c r="O88" s="28">
        <v>4</v>
      </c>
      <c r="P88" s="29">
        <f>N88*O88</f>
        <v>28</v>
      </c>
      <c r="Q88" s="21">
        <f>'[5]3rd Subject'!$C117</f>
        <v>33</v>
      </c>
      <c r="R88" s="21">
        <f>'[5]3rd Subject'!$D117</f>
        <v>36</v>
      </c>
      <c r="S88" s="27">
        <f>R88+Q88</f>
        <v>69</v>
      </c>
      <c r="T88" s="18" t="str">
        <f>IF(S88&lt;50,"F",IF(S88&lt;=54.99,"P",IF(S88&lt;=59.99,"C",IF(S88&lt;=64.99,"B",IF(S88&lt;=69.99,"B+",IF(S88&lt;=74.99,"A",IF(S88&lt;=79.99,"A+","O")))))))</f>
        <v>B+</v>
      </c>
      <c r="U88" s="18" t="str">
        <f>IF(S88&lt;50,"0",IF(S88&lt;=54.99,"4",IF(S88&lt;=59.99,"5",IF(S88&lt;=64.99,"6",IF(S88&lt;=69.99,"7",IF(S88&lt;=74.99,"8",IF(S88&lt;=79.99,"9","10")))))))</f>
        <v>7</v>
      </c>
      <c r="V88" s="28">
        <v>4</v>
      </c>
      <c r="W88" s="29">
        <f>U88*V88</f>
        <v>28</v>
      </c>
      <c r="X88" s="22">
        <f>'[6]4th Subject'!$C117</f>
        <v>33</v>
      </c>
      <c r="Y88" s="23">
        <f>'[6]4th Subject'!$D117</f>
        <v>36</v>
      </c>
      <c r="Z88" s="27">
        <f>Y88+X88</f>
        <v>69</v>
      </c>
      <c r="AA88" s="18" t="str">
        <f>IF(Z88&lt;50,"F",IF(Z88&lt;=54.99,"P",IF(Z88&lt;=59.99,"C",IF(Z88&lt;=64.99,"B",IF(Z88&lt;=69.99,"B+",IF(Z88&lt;=74.99,"A",IF(Z88&lt;=79.99,"A+","O")))))))</f>
        <v>B+</v>
      </c>
      <c r="AB88" s="18" t="str">
        <f>IF(Z88&lt;50,"0",IF(Z88&lt;=54.99,"4",IF(Z88&lt;=59.99,"5",IF(Z88&lt;=64.99,"6",IF(Z88&lt;=69.99,"7",IF(Z88&lt;=74.99,"8",IF(Z88&lt;=79.99,"9","10")))))))</f>
        <v>7</v>
      </c>
      <c r="AC88" s="28">
        <v>4</v>
      </c>
      <c r="AD88" s="29">
        <f>AB88*AC88</f>
        <v>28</v>
      </c>
      <c r="AE88" s="22">
        <f>'[7]5th Subject'!$C117</f>
        <v>33</v>
      </c>
      <c r="AF88" s="23">
        <f>'[7]5th Subject'!$D117</f>
        <v>36</v>
      </c>
      <c r="AG88" s="27">
        <f>AF88+AE88</f>
        <v>69</v>
      </c>
      <c r="AH88" s="18" t="str">
        <f>IF(AG88&lt;50,"F",IF(AG88&lt;=54.99,"P",IF(AG88&lt;=59.99,"C",IF(AG88&lt;=64.99,"B",IF(AG88&lt;=69.99,"B+",IF(AG88&lt;=74.99,"A",IF(AG88&lt;=79.99,"A+","O")))))))</f>
        <v>B+</v>
      </c>
      <c r="AI88" s="18" t="str">
        <f>IF(AG88&lt;50,"0",IF(AG88&lt;=54.99,"4",IF(AG88&lt;=59.99,"5",IF(AG88&lt;=64.99,"6",IF(AG88&lt;=69.99,"7",IF(AG88&lt;=74.99,"8",IF(AG88&lt;=79.99,"9","10")))))))</f>
        <v>7</v>
      </c>
      <c r="AJ88" s="28">
        <v>4</v>
      </c>
      <c r="AK88" s="29">
        <f>AI88*AJ88</f>
        <v>28</v>
      </c>
      <c r="AL88" s="22">
        <f>'[8]6th Subject'!$C117</f>
        <v>33</v>
      </c>
      <c r="AM88" s="22">
        <f>'[8]6th Subject'!$D117</f>
        <v>36</v>
      </c>
      <c r="AN88" s="27">
        <f>AM88+AL88</f>
        <v>69</v>
      </c>
      <c r="AO88" s="18" t="str">
        <f>IF(AN88&lt;50,"F",IF(AN88&lt;=54.99,"P",IF(AN88&lt;=59.99,"C",IF(AN88&lt;=64.99,"B",IF(AN88&lt;=69.99,"B+",IF(AN88&lt;=74.99,"A",IF(AN88&lt;=79.99,"A+","O")))))))</f>
        <v>B+</v>
      </c>
      <c r="AP88" s="18" t="str">
        <f>IF(AN88&lt;50,"0",IF(AN88&lt;=54.99,"4",IF(AN88&lt;=59.99,"5",IF(AN88&lt;=64.99,"6",IF(AN88&lt;=69.99,"7",IF(AN88&lt;=74.99,"8",IF(AN88&lt;=79.99,"9","10")))))))</f>
        <v>7</v>
      </c>
      <c r="AQ88" s="28">
        <v>4</v>
      </c>
      <c r="AR88" s="29">
        <f>AP88*AQ88</f>
        <v>28</v>
      </c>
      <c r="AS88" s="16">
        <f>'[9]7th Subject'!$C117</f>
        <v>33</v>
      </c>
      <c r="AT88" s="16">
        <f>'[9]7th Subject'!$D117</f>
        <v>36</v>
      </c>
      <c r="AU88" s="27">
        <f>AT88+AS88</f>
        <v>69</v>
      </c>
      <c r="AV88" s="18" t="str">
        <f>IF(AU88&lt;50,"F",IF(AU88&lt;=54.99,"P",IF(AU88&lt;=59.99,"C",IF(AU88&lt;=64.99,"B",IF(AU88&lt;=69.99,"B+",IF(AU88&lt;=74.99,"A",IF(AU88&lt;=79.99,"A+","O")))))))</f>
        <v>B+</v>
      </c>
      <c r="AW88" s="18" t="str">
        <f>IF(AU88&lt;50,"0",IF(AU88&lt;=54.99,"4",IF(AU88&lt;=59.99,"5",IF(AU88&lt;=64.99,"6",IF(AU88&lt;=69.99,"7",IF(AU88&lt;=74.99,"8",IF(AU88&lt;=79.99,"9","10")))))))</f>
        <v>7</v>
      </c>
      <c r="AX88" s="28">
        <v>4</v>
      </c>
      <c r="AY88" s="29">
        <f>AW88*AX88</f>
        <v>28</v>
      </c>
      <c r="AZ88" s="22">
        <f>'[10]8th Subject'!$C117</f>
        <v>33</v>
      </c>
      <c r="BA88" s="22">
        <f>'[10]8th Subject'!$D117</f>
        <v>36</v>
      </c>
      <c r="BB88" s="27">
        <f>BA88+AZ88</f>
        <v>69</v>
      </c>
      <c r="BC88" s="18" t="str">
        <f>IF(BB88&lt;50,"F",IF(BB88&lt;=54.99,"P",IF(BB88&lt;=59.99,"C",IF(BB88&lt;=64.99,"B",IF(BB88&lt;=69.99,"B+",IF(BB88&lt;=74.99,"A",IF(BB88&lt;=79.99,"A+","O")))))))</f>
        <v>B+</v>
      </c>
      <c r="BD88" s="18" t="str">
        <f>IF(BB88&lt;50,"0",IF(BB88&lt;=54.99,"4",IF(BB88&lt;=59.99,"5",IF(BB88&lt;=64.99,"6",IF(BB88&lt;=69.99,"7",IF(BB88&lt;=74.99,"8",IF(BB88&lt;=79.99,"9","10")))))))</f>
        <v>7</v>
      </c>
      <c r="BE88" s="28">
        <v>4</v>
      </c>
      <c r="BF88" s="29">
        <f>BD88*BE88</f>
        <v>28</v>
      </c>
      <c r="BG88" s="27">
        <f>AZ88+AS88+AE88+X88+J88+C88+Q88+AL88</f>
        <v>264</v>
      </c>
      <c r="BH88" s="27">
        <f>BA88+AT88+AF88+Y88+K88+D88+R88+AM88</f>
        <v>288</v>
      </c>
      <c r="BI88" s="27">
        <f>BH88+BG88</f>
        <v>552</v>
      </c>
      <c r="BJ88" s="30">
        <f>G88+N88+U88+AB88+AI88+AP88+BD88+AW88</f>
        <v>56</v>
      </c>
      <c r="BK88" s="30">
        <f>I88+P88+W88+AD88+AK88+AY88+BF88+AR88</f>
        <v>224</v>
      </c>
      <c r="BL88" s="25">
        <f>(BN88-0.75)*10</f>
        <v>62.5</v>
      </c>
      <c r="BM88" s="17" t="str">
        <f>IF(OR(C88&lt;20,D88&lt;30,J88&lt;20,K88&lt;30,Q88&lt;20,R88&lt;30,X88&lt;20,Y88&lt;30,AE88&lt;20,AF88&lt;30,AL88&lt;20,AM88&lt;30,AS88&lt;20,AT88&lt;30,AZ88&lt;20,BA88&lt;30),"Unsuccessful","Successful")</f>
        <v>Successful</v>
      </c>
      <c r="BN88" s="31">
        <f>BK88/32</f>
        <v>7</v>
      </c>
      <c r="BO88" s="18" t="str">
        <f>IF(BN88&lt;=4,"F",IF(BN88&lt;=4.5,"P",IF(BN88&lt;=5.5,"C",IF(BN88&lt;=6.5,"B",IF(BN88&lt;=7.5,"B+",IF(BN88&lt;=8.5,"A",IF(BN88&lt;=9.5,"A+","O")))))))</f>
        <v>B+</v>
      </c>
      <c r="BP88" s="14" t="str">
        <f>IF(BN88&lt;=4,"50",IF(BN88&lt;=4.5,"50-54.99",IF(BN88&lt;=5.5,"55-59.99",IF(BN88&lt;=6.5,"60-64.99",IF(BN88&lt;=7.5,"65-69.99",IF(BN88&lt;=8.5,"70-74.99",IF(BN88&lt;=9.5,"75-79.99","10")))))))</f>
        <v>65-69.99</v>
      </c>
      <c r="BS88">
        <f>RANK(BN88,$BN$3:$BN$135)</f>
        <v>68</v>
      </c>
    </row>
    <row r="89" spans="1:71" x14ac:dyDescent="0.25">
      <c r="A89" s="14" t="str">
        <f>[2]Sheet1!$A10</f>
        <v>MMS18-20/009</v>
      </c>
      <c r="B89" s="15" t="str">
        <f>[2]Sheet1!$B10</f>
        <v>/BHAJANI DHANASHREE MANOHAR KAVITA</v>
      </c>
      <c r="C89" s="16">
        <f>'[3]1st Subject'!$C11</f>
        <v>27</v>
      </c>
      <c r="D89" s="16">
        <f>'[3]1st Subject'!$D11</f>
        <v>40</v>
      </c>
      <c r="E89" s="27">
        <f>D89+C89</f>
        <v>67</v>
      </c>
      <c r="F89" s="18" t="str">
        <f>IF(E89&lt;50,"F",IF(E89&lt;=54.99,"P",IF(E89&lt;=59.99,"C",IF(E89&lt;=64.99,"B",IF(E89&lt;=69.99,"B+",IF(E89&lt;=74.99,"A",IF(E89&lt;=79.99,"A+","O")))))))</f>
        <v>B+</v>
      </c>
      <c r="G89" s="18" t="str">
        <f>IF(E89&lt;50,"0",IF(E89&lt;=54.99,"4",IF(E89&lt;=59.99,"5",IF(E89&lt;=64.99,"6",IF(E89&lt;=69.99,"7",IF(E89&lt;=74.99,"8",IF(E89&lt;=79.99,"9","10")))))))</f>
        <v>7</v>
      </c>
      <c r="H89" s="28">
        <v>4</v>
      </c>
      <c r="I89" s="29">
        <f>G89*H89</f>
        <v>28</v>
      </c>
      <c r="J89" s="16">
        <f>'[4]2nd Subject'!$C11</f>
        <v>27</v>
      </c>
      <c r="K89" s="16">
        <f>'[4]2nd Subject'!$D11</f>
        <v>40</v>
      </c>
      <c r="L89" s="27">
        <f>K89+J89</f>
        <v>67</v>
      </c>
      <c r="M89" s="18" t="str">
        <f>IF(L89&lt;50,"F",IF(L89&lt;=54.99,"P",IF(L89&lt;=59.99,"C",IF(L89&lt;=64.99,"B",IF(L89&lt;=69.99,"B+",IF(L89&lt;=74.99,"A",IF(L89&lt;=79.99,"A+","O")))))))</f>
        <v>B+</v>
      </c>
      <c r="N89" s="18" t="str">
        <f>IF(L89&lt;50,"0",IF(L89&lt;=54.99,"4",IF(L89&lt;=59.99,"5",IF(L89&lt;=64.99,"6",IF(L89&lt;=69.99,"7",IF(L89&lt;=74.99,"8",IF(L89&lt;=79.99,"9","10")))))))</f>
        <v>7</v>
      </c>
      <c r="O89" s="28">
        <v>4</v>
      </c>
      <c r="P89" s="29">
        <f>N89*O89</f>
        <v>28</v>
      </c>
      <c r="Q89" s="21">
        <f>'[5]3rd Subject'!$C11</f>
        <v>27</v>
      </c>
      <c r="R89" s="21">
        <f>'[5]3rd Subject'!$D11</f>
        <v>40</v>
      </c>
      <c r="S89" s="27">
        <f>R89+Q89</f>
        <v>67</v>
      </c>
      <c r="T89" s="18" t="str">
        <f>IF(S89&lt;50,"F",IF(S89&lt;=54.99,"P",IF(S89&lt;=59.99,"C",IF(S89&lt;=64.99,"B",IF(S89&lt;=69.99,"B+",IF(S89&lt;=74.99,"A",IF(S89&lt;=79.99,"A+","O")))))))</f>
        <v>B+</v>
      </c>
      <c r="U89" s="18" t="str">
        <f>IF(S89&lt;50,"0",IF(S89&lt;=54.99,"4",IF(S89&lt;=59.99,"5",IF(S89&lt;=64.99,"6",IF(S89&lt;=69.99,"7",IF(S89&lt;=74.99,"8",IF(S89&lt;=79.99,"9","10")))))))</f>
        <v>7</v>
      </c>
      <c r="V89" s="28">
        <v>4</v>
      </c>
      <c r="W89" s="29">
        <f>U89*V89</f>
        <v>28</v>
      </c>
      <c r="X89" s="22">
        <f>'[6]4th Subject'!$C11</f>
        <v>27</v>
      </c>
      <c r="Y89" s="23">
        <f>'[6]4th Subject'!$D11</f>
        <v>40</v>
      </c>
      <c r="Z89" s="27">
        <f>Y89+X89</f>
        <v>67</v>
      </c>
      <c r="AA89" s="18" t="str">
        <f>IF(Z89&lt;50,"F",IF(Z89&lt;=54.99,"P",IF(Z89&lt;=59.99,"C",IF(Z89&lt;=64.99,"B",IF(Z89&lt;=69.99,"B+",IF(Z89&lt;=74.99,"A",IF(Z89&lt;=79.99,"A+","O")))))))</f>
        <v>B+</v>
      </c>
      <c r="AB89" s="18" t="str">
        <f>IF(Z89&lt;50,"0",IF(Z89&lt;=54.99,"4",IF(Z89&lt;=59.99,"5",IF(Z89&lt;=64.99,"6",IF(Z89&lt;=69.99,"7",IF(Z89&lt;=74.99,"8",IF(Z89&lt;=79.99,"9","10")))))))</f>
        <v>7</v>
      </c>
      <c r="AC89" s="28">
        <v>4</v>
      </c>
      <c r="AD89" s="29">
        <f>AB89*AC89</f>
        <v>28</v>
      </c>
      <c r="AE89" s="22">
        <f>'[7]5th Subject'!$C11</f>
        <v>27</v>
      </c>
      <c r="AF89" s="23">
        <f>'[7]5th Subject'!$D11</f>
        <v>40</v>
      </c>
      <c r="AG89" s="27">
        <f>AF89+AE89</f>
        <v>67</v>
      </c>
      <c r="AH89" s="18" t="str">
        <f>IF(AG89&lt;50,"F",IF(AG89&lt;=54.99,"P",IF(AG89&lt;=59.99,"C",IF(AG89&lt;=64.99,"B",IF(AG89&lt;=69.99,"B+",IF(AG89&lt;=74.99,"A",IF(AG89&lt;=79.99,"A+","O")))))))</f>
        <v>B+</v>
      </c>
      <c r="AI89" s="18" t="str">
        <f>IF(AG89&lt;50,"0",IF(AG89&lt;=54.99,"4",IF(AG89&lt;=59.99,"5",IF(AG89&lt;=64.99,"6",IF(AG89&lt;=69.99,"7",IF(AG89&lt;=74.99,"8",IF(AG89&lt;=79.99,"9","10")))))))</f>
        <v>7</v>
      </c>
      <c r="AJ89" s="28">
        <v>4</v>
      </c>
      <c r="AK89" s="29">
        <f>AI89*AJ89</f>
        <v>28</v>
      </c>
      <c r="AL89" s="22">
        <f>'[8]6th Subject'!$C11</f>
        <v>27</v>
      </c>
      <c r="AM89" s="22">
        <f>'[8]6th Subject'!$D11</f>
        <v>40</v>
      </c>
      <c r="AN89" s="27">
        <f>AM89+AL89</f>
        <v>67</v>
      </c>
      <c r="AO89" s="18" t="str">
        <f>IF(AN89&lt;50,"F",IF(AN89&lt;=54.99,"P",IF(AN89&lt;=59.99,"C",IF(AN89&lt;=64.99,"B",IF(AN89&lt;=69.99,"B+",IF(AN89&lt;=74.99,"A",IF(AN89&lt;=79.99,"A+","O")))))))</f>
        <v>B+</v>
      </c>
      <c r="AP89" s="18" t="str">
        <f>IF(AN89&lt;50,"0",IF(AN89&lt;=54.99,"4",IF(AN89&lt;=59.99,"5",IF(AN89&lt;=64.99,"6",IF(AN89&lt;=69.99,"7",IF(AN89&lt;=74.99,"8",IF(AN89&lt;=79.99,"9","10")))))))</f>
        <v>7</v>
      </c>
      <c r="AQ89" s="28">
        <v>4</v>
      </c>
      <c r="AR89" s="29">
        <f>AP89*AQ89</f>
        <v>28</v>
      </c>
      <c r="AS89" s="16">
        <f>'[9]7th Subject'!$C11</f>
        <v>27</v>
      </c>
      <c r="AT89" s="16">
        <f>'[9]7th Subject'!$D11</f>
        <v>40</v>
      </c>
      <c r="AU89" s="27">
        <f>AT89+AS89</f>
        <v>67</v>
      </c>
      <c r="AV89" s="18" t="str">
        <f>IF(AU89&lt;50,"F",IF(AU89&lt;=54.99,"P",IF(AU89&lt;=59.99,"C",IF(AU89&lt;=64.99,"B",IF(AU89&lt;=69.99,"B+",IF(AU89&lt;=74.99,"A",IF(AU89&lt;=79.99,"A+","O")))))))</f>
        <v>B+</v>
      </c>
      <c r="AW89" s="18" t="str">
        <f>IF(AU89&lt;50,"0",IF(AU89&lt;=54.99,"4",IF(AU89&lt;=59.99,"5",IF(AU89&lt;=64.99,"6",IF(AU89&lt;=69.99,"7",IF(AU89&lt;=74.99,"8",IF(AU89&lt;=79.99,"9","10")))))))</f>
        <v>7</v>
      </c>
      <c r="AX89" s="28">
        <v>4</v>
      </c>
      <c r="AY89" s="29">
        <f>AW89*AX89</f>
        <v>28</v>
      </c>
      <c r="AZ89" s="22">
        <f>'[10]8th Subject'!$C11</f>
        <v>27</v>
      </c>
      <c r="BA89" s="22">
        <f>'[10]8th Subject'!$D11</f>
        <v>40</v>
      </c>
      <c r="BB89" s="27">
        <f>BA89+AZ89</f>
        <v>67</v>
      </c>
      <c r="BC89" s="18" t="str">
        <f>IF(BB89&lt;50,"F",IF(BB89&lt;=54.99,"P",IF(BB89&lt;=59.99,"C",IF(BB89&lt;=64.99,"B",IF(BB89&lt;=69.99,"B+",IF(BB89&lt;=74.99,"A",IF(BB89&lt;=79.99,"A+","O")))))))</f>
        <v>B+</v>
      </c>
      <c r="BD89" s="18" t="str">
        <f>IF(BB89&lt;50,"0",IF(BB89&lt;=54.99,"4",IF(BB89&lt;=59.99,"5",IF(BB89&lt;=64.99,"6",IF(BB89&lt;=69.99,"7",IF(BB89&lt;=74.99,"8",IF(BB89&lt;=79.99,"9","10")))))))</f>
        <v>7</v>
      </c>
      <c r="BE89" s="28">
        <v>4</v>
      </c>
      <c r="BF89" s="29">
        <f>BD89*BE89</f>
        <v>28</v>
      </c>
      <c r="BG89" s="27">
        <f>AZ89+AS89+AE89+X89+J89+C89+Q89+AL89</f>
        <v>216</v>
      </c>
      <c r="BH89" s="27">
        <f>BA89+AT89+AF89+Y89+K89+D89+R89+AM89</f>
        <v>320</v>
      </c>
      <c r="BI89" s="27">
        <f>BH89+BG89</f>
        <v>536</v>
      </c>
      <c r="BJ89" s="30">
        <f>G89+N89+U89+AB89+AI89+AP89+BD89+AW89</f>
        <v>56</v>
      </c>
      <c r="BK89" s="30">
        <f>I89+P89+W89+AD89+AK89+AY89+BF89+AR89</f>
        <v>224</v>
      </c>
      <c r="BL89" s="25">
        <f>(BN89-0.75)*10</f>
        <v>62.5</v>
      </c>
      <c r="BM89" s="17" t="str">
        <f>IF(OR(C89&lt;20,D89&lt;30,J89&lt;20,K89&lt;30,Q89&lt;20,R89&lt;30,X89&lt;20,Y89&lt;30,AE89&lt;20,AF89&lt;30,AL89&lt;20,AM89&lt;30,AS89&lt;20,AT89&lt;30,AZ89&lt;20,BA89&lt;30),"Unsuccessful","Successful")</f>
        <v>Successful</v>
      </c>
      <c r="BN89" s="31">
        <f>BK89/32</f>
        <v>7</v>
      </c>
      <c r="BO89" s="18" t="str">
        <f>IF(BN89&lt;=4,"F",IF(BN89&lt;=4.5,"P",IF(BN89&lt;=5.5,"C",IF(BN89&lt;=6.5,"B",IF(BN89&lt;=7.5,"B+",IF(BN89&lt;=8.5,"A",IF(BN89&lt;=9.5,"A+","O")))))))</f>
        <v>B+</v>
      </c>
      <c r="BP89" s="14" t="str">
        <f>IF(BN89&lt;=4,"50",IF(BN89&lt;=4.5,"50-54.99",IF(BN89&lt;=5.5,"55-59.99",IF(BN89&lt;=6.5,"60-64.99",IF(BN89&lt;=7.5,"65-69.99",IF(BN89&lt;=8.5,"70-74.99",IF(BN89&lt;=9.5,"75-79.99","10")))))))</f>
        <v>65-69.99</v>
      </c>
      <c r="BS89">
        <f>RANK(BN89,$BN$3:$BN$135)</f>
        <v>68</v>
      </c>
    </row>
    <row r="90" spans="1:71" x14ac:dyDescent="0.25">
      <c r="A90" s="14" t="str">
        <f>[2]Sheet1!$A21</f>
        <v>MMS18-20/020</v>
      </c>
      <c r="B90" s="15" t="str">
        <f>[2]Sheet1!$B21</f>
        <v>/CHAWHAN SAMTA VIJAY SUNITA</v>
      </c>
      <c r="C90" s="16">
        <f>'[3]1st Subject'!$C22</f>
        <v>27</v>
      </c>
      <c r="D90" s="16">
        <f>'[3]1st Subject'!$D22</f>
        <v>40</v>
      </c>
      <c r="E90" s="27">
        <f>D90+C90</f>
        <v>67</v>
      </c>
      <c r="F90" s="18" t="str">
        <f>IF(E90&lt;50,"F",IF(E90&lt;=54.99,"P",IF(E90&lt;=59.99,"C",IF(E90&lt;=64.99,"B",IF(E90&lt;=69.99,"B+",IF(E90&lt;=74.99,"A",IF(E90&lt;=79.99,"A+","O")))))))</f>
        <v>B+</v>
      </c>
      <c r="G90" s="18" t="str">
        <f>IF(E90&lt;50,"0",IF(E90&lt;=54.99,"4",IF(E90&lt;=59.99,"5",IF(E90&lt;=64.99,"6",IF(E90&lt;=69.99,"7",IF(E90&lt;=74.99,"8",IF(E90&lt;=79.99,"9","10")))))))</f>
        <v>7</v>
      </c>
      <c r="H90" s="28">
        <v>4</v>
      </c>
      <c r="I90" s="29">
        <f>G90*H90</f>
        <v>28</v>
      </c>
      <c r="J90" s="16">
        <f>'[4]2nd Subject'!$C22</f>
        <v>27</v>
      </c>
      <c r="K90" s="16">
        <f>'[4]2nd Subject'!$D22</f>
        <v>40</v>
      </c>
      <c r="L90" s="27">
        <f>K90+J90</f>
        <v>67</v>
      </c>
      <c r="M90" s="18" t="str">
        <f>IF(L90&lt;50,"F",IF(L90&lt;=54.99,"P",IF(L90&lt;=59.99,"C",IF(L90&lt;=64.99,"B",IF(L90&lt;=69.99,"B+",IF(L90&lt;=74.99,"A",IF(L90&lt;=79.99,"A+","O")))))))</f>
        <v>B+</v>
      </c>
      <c r="N90" s="18" t="str">
        <f>IF(L90&lt;50,"0",IF(L90&lt;=54.99,"4",IF(L90&lt;=59.99,"5",IF(L90&lt;=64.99,"6",IF(L90&lt;=69.99,"7",IF(L90&lt;=74.99,"8",IF(L90&lt;=79.99,"9","10")))))))</f>
        <v>7</v>
      </c>
      <c r="O90" s="28">
        <v>4</v>
      </c>
      <c r="P90" s="29">
        <f>N90*O90</f>
        <v>28</v>
      </c>
      <c r="Q90" s="21">
        <f>'[5]3rd Subject'!$C22</f>
        <v>27</v>
      </c>
      <c r="R90" s="21">
        <f>'[5]3rd Subject'!$D22</f>
        <v>40</v>
      </c>
      <c r="S90" s="27">
        <f>R90+Q90</f>
        <v>67</v>
      </c>
      <c r="T90" s="18" t="str">
        <f>IF(S90&lt;50,"F",IF(S90&lt;=54.99,"P",IF(S90&lt;=59.99,"C",IF(S90&lt;=64.99,"B",IF(S90&lt;=69.99,"B+",IF(S90&lt;=74.99,"A",IF(S90&lt;=79.99,"A+","O")))))))</f>
        <v>B+</v>
      </c>
      <c r="U90" s="18" t="str">
        <f>IF(S90&lt;50,"0",IF(S90&lt;=54.99,"4",IF(S90&lt;=59.99,"5",IF(S90&lt;=64.99,"6",IF(S90&lt;=69.99,"7",IF(S90&lt;=74.99,"8",IF(S90&lt;=79.99,"9","10")))))))</f>
        <v>7</v>
      </c>
      <c r="V90" s="28">
        <v>4</v>
      </c>
      <c r="W90" s="29">
        <f>U90*V90</f>
        <v>28</v>
      </c>
      <c r="X90" s="22">
        <f>'[6]4th Subject'!$C22</f>
        <v>27</v>
      </c>
      <c r="Y90" s="23">
        <f>'[6]4th Subject'!$D22</f>
        <v>40</v>
      </c>
      <c r="Z90" s="27">
        <f>Y90+X90</f>
        <v>67</v>
      </c>
      <c r="AA90" s="18" t="str">
        <f>IF(Z90&lt;50,"F",IF(Z90&lt;=54.99,"P",IF(Z90&lt;=59.99,"C",IF(Z90&lt;=64.99,"B",IF(Z90&lt;=69.99,"B+",IF(Z90&lt;=74.99,"A",IF(Z90&lt;=79.99,"A+","O")))))))</f>
        <v>B+</v>
      </c>
      <c r="AB90" s="18" t="str">
        <f>IF(Z90&lt;50,"0",IF(Z90&lt;=54.99,"4",IF(Z90&lt;=59.99,"5",IF(Z90&lt;=64.99,"6",IF(Z90&lt;=69.99,"7",IF(Z90&lt;=74.99,"8",IF(Z90&lt;=79.99,"9","10")))))))</f>
        <v>7</v>
      </c>
      <c r="AC90" s="28">
        <v>4</v>
      </c>
      <c r="AD90" s="29">
        <f>AB90*AC90</f>
        <v>28</v>
      </c>
      <c r="AE90" s="22">
        <f>'[7]5th Subject'!$C22</f>
        <v>27</v>
      </c>
      <c r="AF90" s="23">
        <f>'[7]5th Subject'!$D22</f>
        <v>40</v>
      </c>
      <c r="AG90" s="27">
        <f>AF90+AE90</f>
        <v>67</v>
      </c>
      <c r="AH90" s="18" t="str">
        <f>IF(AG90&lt;50,"F",IF(AG90&lt;=54.99,"P",IF(AG90&lt;=59.99,"C",IF(AG90&lt;=64.99,"B",IF(AG90&lt;=69.99,"B+",IF(AG90&lt;=74.99,"A",IF(AG90&lt;=79.99,"A+","O")))))))</f>
        <v>B+</v>
      </c>
      <c r="AI90" s="18" t="str">
        <f>IF(AG90&lt;50,"0",IF(AG90&lt;=54.99,"4",IF(AG90&lt;=59.99,"5",IF(AG90&lt;=64.99,"6",IF(AG90&lt;=69.99,"7",IF(AG90&lt;=74.99,"8",IF(AG90&lt;=79.99,"9","10")))))))</f>
        <v>7</v>
      </c>
      <c r="AJ90" s="28">
        <v>4</v>
      </c>
      <c r="AK90" s="29">
        <f>AI90*AJ90</f>
        <v>28</v>
      </c>
      <c r="AL90" s="22">
        <f>'[8]6th Subject'!$C22</f>
        <v>27</v>
      </c>
      <c r="AM90" s="22">
        <f>'[8]6th Subject'!$D22</f>
        <v>40</v>
      </c>
      <c r="AN90" s="27">
        <f>AM90+AL90</f>
        <v>67</v>
      </c>
      <c r="AO90" s="18" t="str">
        <f>IF(AN90&lt;50,"F",IF(AN90&lt;=54.99,"P",IF(AN90&lt;=59.99,"C",IF(AN90&lt;=64.99,"B",IF(AN90&lt;=69.99,"B+",IF(AN90&lt;=74.99,"A",IF(AN90&lt;=79.99,"A+","O")))))))</f>
        <v>B+</v>
      </c>
      <c r="AP90" s="18" t="str">
        <f>IF(AN90&lt;50,"0",IF(AN90&lt;=54.99,"4",IF(AN90&lt;=59.99,"5",IF(AN90&lt;=64.99,"6",IF(AN90&lt;=69.99,"7",IF(AN90&lt;=74.99,"8",IF(AN90&lt;=79.99,"9","10")))))))</f>
        <v>7</v>
      </c>
      <c r="AQ90" s="28">
        <v>4</v>
      </c>
      <c r="AR90" s="29">
        <f>AP90*AQ90</f>
        <v>28</v>
      </c>
      <c r="AS90" s="16">
        <f>'[9]7th Subject'!$C22</f>
        <v>27</v>
      </c>
      <c r="AT90" s="16">
        <f>'[9]7th Subject'!$D22</f>
        <v>40</v>
      </c>
      <c r="AU90" s="27">
        <f>AT90+AS90</f>
        <v>67</v>
      </c>
      <c r="AV90" s="18" t="str">
        <f>IF(AU90&lt;50,"F",IF(AU90&lt;=54.99,"P",IF(AU90&lt;=59.99,"C",IF(AU90&lt;=64.99,"B",IF(AU90&lt;=69.99,"B+",IF(AU90&lt;=74.99,"A",IF(AU90&lt;=79.99,"A+","O")))))))</f>
        <v>B+</v>
      </c>
      <c r="AW90" s="18" t="str">
        <f>IF(AU90&lt;50,"0",IF(AU90&lt;=54.99,"4",IF(AU90&lt;=59.99,"5",IF(AU90&lt;=64.99,"6",IF(AU90&lt;=69.99,"7",IF(AU90&lt;=74.99,"8",IF(AU90&lt;=79.99,"9","10")))))))</f>
        <v>7</v>
      </c>
      <c r="AX90" s="28">
        <v>4</v>
      </c>
      <c r="AY90" s="29">
        <f>AW90*AX90</f>
        <v>28</v>
      </c>
      <c r="AZ90" s="22">
        <f>'[10]8th Subject'!$C22</f>
        <v>27</v>
      </c>
      <c r="BA90" s="22">
        <f>'[10]8th Subject'!$D22</f>
        <v>40</v>
      </c>
      <c r="BB90" s="27">
        <f>BA90+AZ90</f>
        <v>67</v>
      </c>
      <c r="BC90" s="18" t="str">
        <f>IF(BB90&lt;50,"F",IF(BB90&lt;=54.99,"P",IF(BB90&lt;=59.99,"C",IF(BB90&lt;=64.99,"B",IF(BB90&lt;=69.99,"B+",IF(BB90&lt;=74.99,"A",IF(BB90&lt;=79.99,"A+","O")))))))</f>
        <v>B+</v>
      </c>
      <c r="BD90" s="18" t="str">
        <f>IF(BB90&lt;50,"0",IF(BB90&lt;=54.99,"4",IF(BB90&lt;=59.99,"5",IF(BB90&lt;=64.99,"6",IF(BB90&lt;=69.99,"7",IF(BB90&lt;=74.99,"8",IF(BB90&lt;=79.99,"9","10")))))))</f>
        <v>7</v>
      </c>
      <c r="BE90" s="28">
        <v>4</v>
      </c>
      <c r="BF90" s="29">
        <f>BD90*BE90</f>
        <v>28</v>
      </c>
      <c r="BG90" s="27">
        <f>AZ90+AS90+AE90+X90+J90+C90+Q90+AL90</f>
        <v>216</v>
      </c>
      <c r="BH90" s="27">
        <f>BA90+AT90+AF90+Y90+K90+D90+R90+AM90</f>
        <v>320</v>
      </c>
      <c r="BI90" s="27">
        <f>BH90+BG90</f>
        <v>536</v>
      </c>
      <c r="BJ90" s="30">
        <f>G90+N90+U90+AB90+AI90+AP90+BD90+AW90</f>
        <v>56</v>
      </c>
      <c r="BK90" s="30">
        <f>I90+P90+W90+AD90+AK90+AY90+BF90+AR90</f>
        <v>224</v>
      </c>
      <c r="BL90" s="25">
        <f>(BN90-0.75)*10</f>
        <v>62.5</v>
      </c>
      <c r="BM90" s="17" t="str">
        <f>IF(OR(C90&lt;20,D90&lt;30,J90&lt;20,K90&lt;30,Q90&lt;20,R90&lt;30,X90&lt;20,Y90&lt;30,AE90&lt;20,AF90&lt;30,AL90&lt;20,AM90&lt;30,AS90&lt;20,AT90&lt;30,AZ90&lt;20,BA90&lt;30),"Unsuccessful","Successful")</f>
        <v>Successful</v>
      </c>
      <c r="BN90" s="31">
        <f>BK90/32</f>
        <v>7</v>
      </c>
      <c r="BO90" s="18" t="str">
        <f>IF(BN90&lt;=4,"F",IF(BN90&lt;=4.5,"P",IF(BN90&lt;=5.5,"C",IF(BN90&lt;=6.5,"B",IF(BN90&lt;=7.5,"B+",IF(BN90&lt;=8.5,"A",IF(BN90&lt;=9.5,"A+","O")))))))</f>
        <v>B+</v>
      </c>
      <c r="BP90" s="14" t="str">
        <f>IF(BN90&lt;=4,"50",IF(BN90&lt;=4.5,"50-54.99",IF(BN90&lt;=5.5,"55-59.99",IF(BN90&lt;=6.5,"60-64.99",IF(BN90&lt;=7.5,"65-69.99",IF(BN90&lt;=8.5,"70-74.99",IF(BN90&lt;=9.5,"75-79.99","10")))))))</f>
        <v>65-69.99</v>
      </c>
      <c r="BS90">
        <f>RANK(BN90,$BN$3:$BN$135)</f>
        <v>68</v>
      </c>
    </row>
    <row r="91" spans="1:71" x14ac:dyDescent="0.25">
      <c r="A91" s="14" t="str">
        <f>[2]Sheet1!$A32</f>
        <v>MMS18-20/031</v>
      </c>
      <c r="B91" s="15" t="str">
        <f>[2]Sheet1!$B32</f>
        <v>GHUMARE SANKET RAMESH JAYSHREE</v>
      </c>
      <c r="C91" s="16">
        <f>'[3]1st Subject'!$C33</f>
        <v>27</v>
      </c>
      <c r="D91" s="16">
        <f>'[3]1st Subject'!$D33</f>
        <v>40</v>
      </c>
      <c r="E91" s="27">
        <f>D91+C91</f>
        <v>67</v>
      </c>
      <c r="F91" s="18" t="str">
        <f>IF(E91&lt;50,"F",IF(E91&lt;=54.99,"P",IF(E91&lt;=59.99,"C",IF(E91&lt;=64.99,"B",IF(E91&lt;=69.99,"B+",IF(E91&lt;=74.99,"A",IF(E91&lt;=79.99,"A+","O")))))))</f>
        <v>B+</v>
      </c>
      <c r="G91" s="18" t="str">
        <f>IF(E91&lt;50,"0",IF(E91&lt;=54.99,"4",IF(E91&lt;=59.99,"5",IF(E91&lt;=64.99,"6",IF(E91&lt;=69.99,"7",IF(E91&lt;=74.99,"8",IF(E91&lt;=79.99,"9","10")))))))</f>
        <v>7</v>
      </c>
      <c r="H91" s="28">
        <v>4</v>
      </c>
      <c r="I91" s="29">
        <f>G91*H91</f>
        <v>28</v>
      </c>
      <c r="J91" s="16">
        <f>'[4]2nd Subject'!$C33</f>
        <v>27</v>
      </c>
      <c r="K91" s="16">
        <f>'[4]2nd Subject'!$D33</f>
        <v>40</v>
      </c>
      <c r="L91" s="27">
        <f>K91+J91</f>
        <v>67</v>
      </c>
      <c r="M91" s="18" t="str">
        <f>IF(L91&lt;50,"F",IF(L91&lt;=54.99,"P",IF(L91&lt;=59.99,"C",IF(L91&lt;=64.99,"B",IF(L91&lt;=69.99,"B+",IF(L91&lt;=74.99,"A",IF(L91&lt;=79.99,"A+","O")))))))</f>
        <v>B+</v>
      </c>
      <c r="N91" s="18" t="str">
        <f>IF(L91&lt;50,"0",IF(L91&lt;=54.99,"4",IF(L91&lt;=59.99,"5",IF(L91&lt;=64.99,"6",IF(L91&lt;=69.99,"7",IF(L91&lt;=74.99,"8",IF(L91&lt;=79.99,"9","10")))))))</f>
        <v>7</v>
      </c>
      <c r="O91" s="28">
        <v>4</v>
      </c>
      <c r="P91" s="29">
        <f>N91*O91</f>
        <v>28</v>
      </c>
      <c r="Q91" s="21">
        <f>'[5]3rd Subject'!$C33</f>
        <v>27</v>
      </c>
      <c r="R91" s="21">
        <f>'[5]3rd Subject'!$D33</f>
        <v>40</v>
      </c>
      <c r="S91" s="27">
        <f>R91+Q91</f>
        <v>67</v>
      </c>
      <c r="T91" s="18" t="str">
        <f>IF(S91&lt;50,"F",IF(S91&lt;=54.99,"P",IF(S91&lt;=59.99,"C",IF(S91&lt;=64.99,"B",IF(S91&lt;=69.99,"B+",IF(S91&lt;=74.99,"A",IF(S91&lt;=79.99,"A+","O")))))))</f>
        <v>B+</v>
      </c>
      <c r="U91" s="18" t="str">
        <f>IF(S91&lt;50,"0",IF(S91&lt;=54.99,"4",IF(S91&lt;=59.99,"5",IF(S91&lt;=64.99,"6",IF(S91&lt;=69.99,"7",IF(S91&lt;=74.99,"8",IF(S91&lt;=79.99,"9","10")))))))</f>
        <v>7</v>
      </c>
      <c r="V91" s="28">
        <v>4</v>
      </c>
      <c r="W91" s="29">
        <f>U91*V91</f>
        <v>28</v>
      </c>
      <c r="X91" s="22">
        <f>'[6]4th Subject'!$C33</f>
        <v>27</v>
      </c>
      <c r="Y91" s="23">
        <f>'[6]4th Subject'!$D33</f>
        <v>40</v>
      </c>
      <c r="Z91" s="27">
        <f>Y91+X91</f>
        <v>67</v>
      </c>
      <c r="AA91" s="18" t="str">
        <f>IF(Z91&lt;50,"F",IF(Z91&lt;=54.99,"P",IF(Z91&lt;=59.99,"C",IF(Z91&lt;=64.99,"B",IF(Z91&lt;=69.99,"B+",IF(Z91&lt;=74.99,"A",IF(Z91&lt;=79.99,"A+","O")))))))</f>
        <v>B+</v>
      </c>
      <c r="AB91" s="18" t="str">
        <f>IF(Z91&lt;50,"0",IF(Z91&lt;=54.99,"4",IF(Z91&lt;=59.99,"5",IF(Z91&lt;=64.99,"6",IF(Z91&lt;=69.99,"7",IF(Z91&lt;=74.99,"8",IF(Z91&lt;=79.99,"9","10")))))))</f>
        <v>7</v>
      </c>
      <c r="AC91" s="28">
        <v>4</v>
      </c>
      <c r="AD91" s="29">
        <f>AB91*AC91</f>
        <v>28</v>
      </c>
      <c r="AE91" s="22">
        <f>'[7]5th Subject'!$C33</f>
        <v>27</v>
      </c>
      <c r="AF91" s="23">
        <f>'[7]5th Subject'!$D33</f>
        <v>40</v>
      </c>
      <c r="AG91" s="27">
        <f>AF91+AE91</f>
        <v>67</v>
      </c>
      <c r="AH91" s="18" t="str">
        <f>IF(AG91&lt;50,"F",IF(AG91&lt;=54.99,"P",IF(AG91&lt;=59.99,"C",IF(AG91&lt;=64.99,"B",IF(AG91&lt;=69.99,"B+",IF(AG91&lt;=74.99,"A",IF(AG91&lt;=79.99,"A+","O")))))))</f>
        <v>B+</v>
      </c>
      <c r="AI91" s="18" t="str">
        <f>IF(AG91&lt;50,"0",IF(AG91&lt;=54.99,"4",IF(AG91&lt;=59.99,"5",IF(AG91&lt;=64.99,"6",IF(AG91&lt;=69.99,"7",IF(AG91&lt;=74.99,"8",IF(AG91&lt;=79.99,"9","10")))))))</f>
        <v>7</v>
      </c>
      <c r="AJ91" s="28">
        <v>4</v>
      </c>
      <c r="AK91" s="29">
        <f>AI91*AJ91</f>
        <v>28</v>
      </c>
      <c r="AL91" s="22">
        <f>'[8]6th Subject'!$C33</f>
        <v>27</v>
      </c>
      <c r="AM91" s="22">
        <f>'[8]6th Subject'!$D33</f>
        <v>40</v>
      </c>
      <c r="AN91" s="27">
        <f>AM91+AL91</f>
        <v>67</v>
      </c>
      <c r="AO91" s="18" t="str">
        <f>IF(AN91&lt;50,"F",IF(AN91&lt;=54.99,"P",IF(AN91&lt;=59.99,"C",IF(AN91&lt;=64.99,"B",IF(AN91&lt;=69.99,"B+",IF(AN91&lt;=74.99,"A",IF(AN91&lt;=79.99,"A+","O")))))))</f>
        <v>B+</v>
      </c>
      <c r="AP91" s="18" t="str">
        <f>IF(AN91&lt;50,"0",IF(AN91&lt;=54.99,"4",IF(AN91&lt;=59.99,"5",IF(AN91&lt;=64.99,"6",IF(AN91&lt;=69.99,"7",IF(AN91&lt;=74.99,"8",IF(AN91&lt;=79.99,"9","10")))))))</f>
        <v>7</v>
      </c>
      <c r="AQ91" s="28">
        <v>4</v>
      </c>
      <c r="AR91" s="29">
        <f>AP91*AQ91</f>
        <v>28</v>
      </c>
      <c r="AS91" s="16">
        <f>'[9]7th Subject'!$C33</f>
        <v>27</v>
      </c>
      <c r="AT91" s="16">
        <f>'[9]7th Subject'!$D33</f>
        <v>40</v>
      </c>
      <c r="AU91" s="27">
        <f>AT91+AS91</f>
        <v>67</v>
      </c>
      <c r="AV91" s="18" t="str">
        <f>IF(AU91&lt;50,"F",IF(AU91&lt;=54.99,"P",IF(AU91&lt;=59.99,"C",IF(AU91&lt;=64.99,"B",IF(AU91&lt;=69.99,"B+",IF(AU91&lt;=74.99,"A",IF(AU91&lt;=79.99,"A+","O")))))))</f>
        <v>B+</v>
      </c>
      <c r="AW91" s="18" t="str">
        <f>IF(AU91&lt;50,"0",IF(AU91&lt;=54.99,"4",IF(AU91&lt;=59.99,"5",IF(AU91&lt;=64.99,"6",IF(AU91&lt;=69.99,"7",IF(AU91&lt;=74.99,"8",IF(AU91&lt;=79.99,"9","10")))))))</f>
        <v>7</v>
      </c>
      <c r="AX91" s="28">
        <v>4</v>
      </c>
      <c r="AY91" s="29">
        <f>AW91*AX91</f>
        <v>28</v>
      </c>
      <c r="AZ91" s="22">
        <f>'[10]8th Subject'!$C33</f>
        <v>27</v>
      </c>
      <c r="BA91" s="22">
        <f>'[10]8th Subject'!$D33</f>
        <v>40</v>
      </c>
      <c r="BB91" s="27">
        <f>BA91+AZ91</f>
        <v>67</v>
      </c>
      <c r="BC91" s="18" t="str">
        <f>IF(BB91&lt;50,"F",IF(BB91&lt;=54.99,"P",IF(BB91&lt;=59.99,"C",IF(BB91&lt;=64.99,"B",IF(BB91&lt;=69.99,"B+",IF(BB91&lt;=74.99,"A",IF(BB91&lt;=79.99,"A+","O")))))))</f>
        <v>B+</v>
      </c>
      <c r="BD91" s="18" t="str">
        <f>IF(BB91&lt;50,"0",IF(BB91&lt;=54.99,"4",IF(BB91&lt;=59.99,"5",IF(BB91&lt;=64.99,"6",IF(BB91&lt;=69.99,"7",IF(BB91&lt;=74.99,"8",IF(BB91&lt;=79.99,"9","10")))))))</f>
        <v>7</v>
      </c>
      <c r="BE91" s="28">
        <v>4</v>
      </c>
      <c r="BF91" s="29">
        <f>BD91*BE91</f>
        <v>28</v>
      </c>
      <c r="BG91" s="27">
        <f>AZ91+AS91+AE91+X91+J91+C91+Q91+AL91</f>
        <v>216</v>
      </c>
      <c r="BH91" s="27">
        <f>BA91+AT91+AF91+Y91+K91+D91+R91+AM91</f>
        <v>320</v>
      </c>
      <c r="BI91" s="27">
        <f>BH91+BG91</f>
        <v>536</v>
      </c>
      <c r="BJ91" s="30">
        <f>G91+N91+U91+AB91+AI91+AP91+BD91+AW91</f>
        <v>56</v>
      </c>
      <c r="BK91" s="30">
        <f>I91+P91+W91+AD91+AK91+AY91+BF91+AR91</f>
        <v>224</v>
      </c>
      <c r="BL91" s="25">
        <f>(BN91-0.75)*10</f>
        <v>62.5</v>
      </c>
      <c r="BM91" s="17" t="str">
        <f>IF(OR(C91&lt;20,D91&lt;30,J91&lt;20,K91&lt;30,Q91&lt;20,R91&lt;30,X91&lt;20,Y91&lt;30,AE91&lt;20,AF91&lt;30,AL91&lt;20,AM91&lt;30,AS91&lt;20,AT91&lt;30,AZ91&lt;20,BA91&lt;30),"Unsuccessful","Successful")</f>
        <v>Successful</v>
      </c>
      <c r="BN91" s="31">
        <f>BK91/32</f>
        <v>7</v>
      </c>
      <c r="BO91" s="18" t="str">
        <f>IF(BN91&lt;=4,"F",IF(BN91&lt;=4.5,"P",IF(BN91&lt;=5.5,"C",IF(BN91&lt;=6.5,"B",IF(BN91&lt;=7.5,"B+",IF(BN91&lt;=8.5,"A",IF(BN91&lt;=9.5,"A+","O")))))))</f>
        <v>B+</v>
      </c>
      <c r="BP91" s="14" t="str">
        <f>IF(BN91&lt;=4,"50",IF(BN91&lt;=4.5,"50-54.99",IF(BN91&lt;=5.5,"55-59.99",IF(BN91&lt;=6.5,"60-64.99",IF(BN91&lt;=7.5,"65-69.99",IF(BN91&lt;=8.5,"70-74.99",IF(BN91&lt;=9.5,"75-79.99","10")))))))</f>
        <v>65-69.99</v>
      </c>
      <c r="BS91">
        <f>RANK(BN91,$BN$3:$BN$135)</f>
        <v>68</v>
      </c>
    </row>
    <row r="92" spans="1:71" x14ac:dyDescent="0.25">
      <c r="A92" s="14" t="str">
        <f>[2]Sheet1!$A43</f>
        <v>MMS18-20/042</v>
      </c>
      <c r="B92" s="15" t="str">
        <f>[2]Sheet1!$B43</f>
        <v>KHAN SAIF ALI NIZAM BILKIS</v>
      </c>
      <c r="C92" s="16">
        <f>'[3]1st Subject'!$C44</f>
        <v>27</v>
      </c>
      <c r="D92" s="16">
        <f>'[3]1st Subject'!$D44</f>
        <v>40</v>
      </c>
      <c r="E92" s="27">
        <f>D92+C92</f>
        <v>67</v>
      </c>
      <c r="F92" s="18" t="str">
        <f>IF(E92&lt;50,"F",IF(E92&lt;=54.99,"P",IF(E92&lt;=59.99,"C",IF(E92&lt;=64.99,"B",IF(E92&lt;=69.99,"B+",IF(E92&lt;=74.99,"A",IF(E92&lt;=79.99,"A+","O")))))))</f>
        <v>B+</v>
      </c>
      <c r="G92" s="18" t="str">
        <f>IF(E92&lt;50,"0",IF(E92&lt;=54.99,"4",IF(E92&lt;=59.99,"5",IF(E92&lt;=64.99,"6",IF(E92&lt;=69.99,"7",IF(E92&lt;=74.99,"8",IF(E92&lt;=79.99,"9","10")))))))</f>
        <v>7</v>
      </c>
      <c r="H92" s="28">
        <v>4</v>
      </c>
      <c r="I92" s="29">
        <f>G92*H92</f>
        <v>28</v>
      </c>
      <c r="J92" s="16">
        <f>'[4]2nd Subject'!$C44</f>
        <v>27</v>
      </c>
      <c r="K92" s="16">
        <f>'[4]2nd Subject'!$D44</f>
        <v>40</v>
      </c>
      <c r="L92" s="27">
        <f>K92+J92</f>
        <v>67</v>
      </c>
      <c r="M92" s="18" t="str">
        <f>IF(L92&lt;50,"F",IF(L92&lt;=54.99,"P",IF(L92&lt;=59.99,"C",IF(L92&lt;=64.99,"B",IF(L92&lt;=69.99,"B+",IF(L92&lt;=74.99,"A",IF(L92&lt;=79.99,"A+","O")))))))</f>
        <v>B+</v>
      </c>
      <c r="N92" s="18" t="str">
        <f>IF(L92&lt;50,"0",IF(L92&lt;=54.99,"4",IF(L92&lt;=59.99,"5",IF(L92&lt;=64.99,"6",IF(L92&lt;=69.99,"7",IF(L92&lt;=74.99,"8",IF(L92&lt;=79.99,"9","10")))))))</f>
        <v>7</v>
      </c>
      <c r="O92" s="28">
        <v>4</v>
      </c>
      <c r="P92" s="29">
        <f>N92*O92</f>
        <v>28</v>
      </c>
      <c r="Q92" s="21">
        <f>'[5]3rd Subject'!$C44</f>
        <v>27</v>
      </c>
      <c r="R92" s="21">
        <f>'[5]3rd Subject'!$D44</f>
        <v>40</v>
      </c>
      <c r="S92" s="27">
        <f>R92+Q92</f>
        <v>67</v>
      </c>
      <c r="T92" s="18" t="str">
        <f>IF(S92&lt;50,"F",IF(S92&lt;=54.99,"P",IF(S92&lt;=59.99,"C",IF(S92&lt;=64.99,"B",IF(S92&lt;=69.99,"B+",IF(S92&lt;=74.99,"A",IF(S92&lt;=79.99,"A+","O")))))))</f>
        <v>B+</v>
      </c>
      <c r="U92" s="18" t="str">
        <f>IF(S92&lt;50,"0",IF(S92&lt;=54.99,"4",IF(S92&lt;=59.99,"5",IF(S92&lt;=64.99,"6",IF(S92&lt;=69.99,"7",IF(S92&lt;=74.99,"8",IF(S92&lt;=79.99,"9","10")))))))</f>
        <v>7</v>
      </c>
      <c r="V92" s="28">
        <v>4</v>
      </c>
      <c r="W92" s="29">
        <f>U92*V92</f>
        <v>28</v>
      </c>
      <c r="X92" s="22">
        <f>'[6]4th Subject'!$C44</f>
        <v>27</v>
      </c>
      <c r="Y92" s="23">
        <f>'[6]4th Subject'!$D44</f>
        <v>40</v>
      </c>
      <c r="Z92" s="27">
        <f>Y92+X92</f>
        <v>67</v>
      </c>
      <c r="AA92" s="18" t="str">
        <f>IF(Z92&lt;50,"F",IF(Z92&lt;=54.99,"P",IF(Z92&lt;=59.99,"C",IF(Z92&lt;=64.99,"B",IF(Z92&lt;=69.99,"B+",IF(Z92&lt;=74.99,"A",IF(Z92&lt;=79.99,"A+","O")))))))</f>
        <v>B+</v>
      </c>
      <c r="AB92" s="18" t="str">
        <f>IF(Z92&lt;50,"0",IF(Z92&lt;=54.99,"4",IF(Z92&lt;=59.99,"5",IF(Z92&lt;=64.99,"6",IF(Z92&lt;=69.99,"7",IF(Z92&lt;=74.99,"8",IF(Z92&lt;=79.99,"9","10")))))))</f>
        <v>7</v>
      </c>
      <c r="AC92" s="28">
        <v>4</v>
      </c>
      <c r="AD92" s="29">
        <f>AB92*AC92</f>
        <v>28</v>
      </c>
      <c r="AE92" s="22">
        <f>'[7]5th Subject'!$C44</f>
        <v>27</v>
      </c>
      <c r="AF92" s="23">
        <f>'[7]5th Subject'!$D44</f>
        <v>40</v>
      </c>
      <c r="AG92" s="27">
        <f>AF92+AE92</f>
        <v>67</v>
      </c>
      <c r="AH92" s="18" t="str">
        <f>IF(AG92&lt;50,"F",IF(AG92&lt;=54.99,"P",IF(AG92&lt;=59.99,"C",IF(AG92&lt;=64.99,"B",IF(AG92&lt;=69.99,"B+",IF(AG92&lt;=74.99,"A",IF(AG92&lt;=79.99,"A+","O")))))))</f>
        <v>B+</v>
      </c>
      <c r="AI92" s="18" t="str">
        <f>IF(AG92&lt;50,"0",IF(AG92&lt;=54.99,"4",IF(AG92&lt;=59.99,"5",IF(AG92&lt;=64.99,"6",IF(AG92&lt;=69.99,"7",IF(AG92&lt;=74.99,"8",IF(AG92&lt;=79.99,"9","10")))))))</f>
        <v>7</v>
      </c>
      <c r="AJ92" s="28">
        <v>4</v>
      </c>
      <c r="AK92" s="29">
        <f>AI92*AJ92</f>
        <v>28</v>
      </c>
      <c r="AL92" s="22">
        <f>'[8]6th Subject'!$C44</f>
        <v>27</v>
      </c>
      <c r="AM92" s="22">
        <f>'[8]6th Subject'!$D44</f>
        <v>40</v>
      </c>
      <c r="AN92" s="27">
        <f>AM92+AL92</f>
        <v>67</v>
      </c>
      <c r="AO92" s="18" t="str">
        <f>IF(AN92&lt;50,"F",IF(AN92&lt;=54.99,"P",IF(AN92&lt;=59.99,"C",IF(AN92&lt;=64.99,"B",IF(AN92&lt;=69.99,"B+",IF(AN92&lt;=74.99,"A",IF(AN92&lt;=79.99,"A+","O")))))))</f>
        <v>B+</v>
      </c>
      <c r="AP92" s="18" t="str">
        <f>IF(AN92&lt;50,"0",IF(AN92&lt;=54.99,"4",IF(AN92&lt;=59.99,"5",IF(AN92&lt;=64.99,"6",IF(AN92&lt;=69.99,"7",IF(AN92&lt;=74.99,"8",IF(AN92&lt;=79.99,"9","10")))))))</f>
        <v>7</v>
      </c>
      <c r="AQ92" s="28">
        <v>4</v>
      </c>
      <c r="AR92" s="29">
        <f>AP92*AQ92</f>
        <v>28</v>
      </c>
      <c r="AS92" s="16">
        <f>'[9]7th Subject'!$C44</f>
        <v>27</v>
      </c>
      <c r="AT92" s="16">
        <f>'[9]7th Subject'!$D44</f>
        <v>40</v>
      </c>
      <c r="AU92" s="27">
        <f>AT92+AS92</f>
        <v>67</v>
      </c>
      <c r="AV92" s="18" t="str">
        <f>IF(AU92&lt;50,"F",IF(AU92&lt;=54.99,"P",IF(AU92&lt;=59.99,"C",IF(AU92&lt;=64.99,"B",IF(AU92&lt;=69.99,"B+",IF(AU92&lt;=74.99,"A",IF(AU92&lt;=79.99,"A+","O")))))))</f>
        <v>B+</v>
      </c>
      <c r="AW92" s="18" t="str">
        <f>IF(AU92&lt;50,"0",IF(AU92&lt;=54.99,"4",IF(AU92&lt;=59.99,"5",IF(AU92&lt;=64.99,"6",IF(AU92&lt;=69.99,"7",IF(AU92&lt;=74.99,"8",IF(AU92&lt;=79.99,"9","10")))))))</f>
        <v>7</v>
      </c>
      <c r="AX92" s="28">
        <v>4</v>
      </c>
      <c r="AY92" s="29">
        <f>AW92*AX92</f>
        <v>28</v>
      </c>
      <c r="AZ92" s="22">
        <f>'[10]8th Subject'!$C44</f>
        <v>27</v>
      </c>
      <c r="BA92" s="22">
        <f>'[10]8th Subject'!$D44</f>
        <v>40</v>
      </c>
      <c r="BB92" s="27">
        <f>BA92+AZ92</f>
        <v>67</v>
      </c>
      <c r="BC92" s="18" t="str">
        <f>IF(BB92&lt;50,"F",IF(BB92&lt;=54.99,"P",IF(BB92&lt;=59.99,"C",IF(BB92&lt;=64.99,"B",IF(BB92&lt;=69.99,"B+",IF(BB92&lt;=74.99,"A",IF(BB92&lt;=79.99,"A+","O")))))))</f>
        <v>B+</v>
      </c>
      <c r="BD92" s="18" t="str">
        <f>IF(BB92&lt;50,"0",IF(BB92&lt;=54.99,"4",IF(BB92&lt;=59.99,"5",IF(BB92&lt;=64.99,"6",IF(BB92&lt;=69.99,"7",IF(BB92&lt;=74.99,"8",IF(BB92&lt;=79.99,"9","10")))))))</f>
        <v>7</v>
      </c>
      <c r="BE92" s="28">
        <v>4</v>
      </c>
      <c r="BF92" s="29">
        <f>BD92*BE92</f>
        <v>28</v>
      </c>
      <c r="BG92" s="27">
        <f>AZ92+AS92+AE92+X92+J92+C92+Q92+AL92</f>
        <v>216</v>
      </c>
      <c r="BH92" s="27">
        <f>BA92+AT92+AF92+Y92+K92+D92+R92+AM92</f>
        <v>320</v>
      </c>
      <c r="BI92" s="27">
        <f>BH92+BG92</f>
        <v>536</v>
      </c>
      <c r="BJ92" s="30">
        <f>G92+N92+U92+AB92+AI92+AP92+BD92+AW92</f>
        <v>56</v>
      </c>
      <c r="BK92" s="30">
        <f>I92+P92+W92+AD92+AK92+AY92+BF92+AR92</f>
        <v>224</v>
      </c>
      <c r="BL92" s="25">
        <f>(BN92-0.75)*10</f>
        <v>62.5</v>
      </c>
      <c r="BM92" s="17" t="str">
        <f>IF(OR(C92&lt;20,D92&lt;30,J92&lt;20,K92&lt;30,Q92&lt;20,R92&lt;30,X92&lt;20,Y92&lt;30,AE92&lt;20,AF92&lt;30,AL92&lt;20,AM92&lt;30,AS92&lt;20,AT92&lt;30,AZ92&lt;20,BA92&lt;30),"Unsuccessful","Successful")</f>
        <v>Successful</v>
      </c>
      <c r="BN92" s="31">
        <f>BK92/32</f>
        <v>7</v>
      </c>
      <c r="BO92" s="18" t="str">
        <f>IF(BN92&lt;=4,"F",IF(BN92&lt;=4.5,"P",IF(BN92&lt;=5.5,"C",IF(BN92&lt;=6.5,"B",IF(BN92&lt;=7.5,"B+",IF(BN92&lt;=8.5,"A",IF(BN92&lt;=9.5,"A+","O")))))))</f>
        <v>B+</v>
      </c>
      <c r="BP92" s="14" t="str">
        <f>IF(BN92&lt;=4,"50",IF(BN92&lt;=4.5,"50-54.99",IF(BN92&lt;=5.5,"55-59.99",IF(BN92&lt;=6.5,"60-64.99",IF(BN92&lt;=7.5,"65-69.99",IF(BN92&lt;=8.5,"70-74.99",IF(BN92&lt;=9.5,"75-79.99","10")))))))</f>
        <v>65-69.99</v>
      </c>
      <c r="BS92">
        <f>RANK(BN92,$BN$3:$BN$135)</f>
        <v>68</v>
      </c>
    </row>
    <row r="93" spans="1:71" x14ac:dyDescent="0.25">
      <c r="A93" s="14" t="str">
        <f>[2]Sheet1!$A54</f>
        <v>MMS18-20/053</v>
      </c>
      <c r="B93" s="15" t="str">
        <f>[2]Sheet1!$B54</f>
        <v>/MISHRA RASHMI SHIVKANT PRATIBHA</v>
      </c>
      <c r="C93" s="16">
        <f>'[3]1st Subject'!$C55</f>
        <v>27</v>
      </c>
      <c r="D93" s="16">
        <f>'[3]1st Subject'!$D55</f>
        <v>40</v>
      </c>
      <c r="E93" s="27">
        <f>D93+C93</f>
        <v>67</v>
      </c>
      <c r="F93" s="18" t="str">
        <f>IF(E93&lt;50,"F",IF(E93&lt;=54.99,"P",IF(E93&lt;=59.99,"C",IF(E93&lt;=64.99,"B",IF(E93&lt;=69.99,"B+",IF(E93&lt;=74.99,"A",IF(E93&lt;=79.99,"A+","O")))))))</f>
        <v>B+</v>
      </c>
      <c r="G93" s="18" t="str">
        <f>IF(E93&lt;50,"0",IF(E93&lt;=54.99,"4",IF(E93&lt;=59.99,"5",IF(E93&lt;=64.99,"6",IF(E93&lt;=69.99,"7",IF(E93&lt;=74.99,"8",IF(E93&lt;=79.99,"9","10")))))))</f>
        <v>7</v>
      </c>
      <c r="H93" s="28">
        <v>4</v>
      </c>
      <c r="I93" s="29">
        <f>G93*H93</f>
        <v>28</v>
      </c>
      <c r="J93" s="16">
        <f>'[4]2nd Subject'!$C55</f>
        <v>27</v>
      </c>
      <c r="K93" s="16">
        <f>'[4]2nd Subject'!$D55</f>
        <v>40</v>
      </c>
      <c r="L93" s="27">
        <f>K93+J93</f>
        <v>67</v>
      </c>
      <c r="M93" s="18" t="str">
        <f>IF(L93&lt;50,"F",IF(L93&lt;=54.99,"P",IF(L93&lt;=59.99,"C",IF(L93&lt;=64.99,"B",IF(L93&lt;=69.99,"B+",IF(L93&lt;=74.99,"A",IF(L93&lt;=79.99,"A+","O")))))))</f>
        <v>B+</v>
      </c>
      <c r="N93" s="18" t="str">
        <f>IF(L93&lt;50,"0",IF(L93&lt;=54.99,"4",IF(L93&lt;=59.99,"5",IF(L93&lt;=64.99,"6",IF(L93&lt;=69.99,"7",IF(L93&lt;=74.99,"8",IF(L93&lt;=79.99,"9","10")))))))</f>
        <v>7</v>
      </c>
      <c r="O93" s="28">
        <v>4</v>
      </c>
      <c r="P93" s="29">
        <f>N93*O93</f>
        <v>28</v>
      </c>
      <c r="Q93" s="21">
        <f>'[5]3rd Subject'!$C55</f>
        <v>27</v>
      </c>
      <c r="R93" s="21">
        <f>'[5]3rd Subject'!$D55</f>
        <v>40</v>
      </c>
      <c r="S93" s="27">
        <f>R93+Q93</f>
        <v>67</v>
      </c>
      <c r="T93" s="18" t="str">
        <f>IF(S93&lt;50,"F",IF(S93&lt;=54.99,"P",IF(S93&lt;=59.99,"C",IF(S93&lt;=64.99,"B",IF(S93&lt;=69.99,"B+",IF(S93&lt;=74.99,"A",IF(S93&lt;=79.99,"A+","O")))))))</f>
        <v>B+</v>
      </c>
      <c r="U93" s="18" t="str">
        <f>IF(S93&lt;50,"0",IF(S93&lt;=54.99,"4",IF(S93&lt;=59.99,"5",IF(S93&lt;=64.99,"6",IF(S93&lt;=69.99,"7",IF(S93&lt;=74.99,"8",IF(S93&lt;=79.99,"9","10")))))))</f>
        <v>7</v>
      </c>
      <c r="V93" s="28">
        <v>4</v>
      </c>
      <c r="W93" s="29">
        <f>U93*V93</f>
        <v>28</v>
      </c>
      <c r="X93" s="22">
        <f>'[6]4th Subject'!$C55</f>
        <v>27</v>
      </c>
      <c r="Y93" s="23">
        <f>'[6]4th Subject'!$D55</f>
        <v>40</v>
      </c>
      <c r="Z93" s="27">
        <f>Y93+X93</f>
        <v>67</v>
      </c>
      <c r="AA93" s="18" t="str">
        <f>IF(Z93&lt;50,"F",IF(Z93&lt;=54.99,"P",IF(Z93&lt;=59.99,"C",IF(Z93&lt;=64.99,"B",IF(Z93&lt;=69.99,"B+",IF(Z93&lt;=74.99,"A",IF(Z93&lt;=79.99,"A+","O")))))))</f>
        <v>B+</v>
      </c>
      <c r="AB93" s="18" t="str">
        <f>IF(Z93&lt;50,"0",IF(Z93&lt;=54.99,"4",IF(Z93&lt;=59.99,"5",IF(Z93&lt;=64.99,"6",IF(Z93&lt;=69.99,"7",IF(Z93&lt;=74.99,"8",IF(Z93&lt;=79.99,"9","10")))))))</f>
        <v>7</v>
      </c>
      <c r="AC93" s="28">
        <v>4</v>
      </c>
      <c r="AD93" s="29">
        <f>AB93*AC93</f>
        <v>28</v>
      </c>
      <c r="AE93" s="22">
        <f>'[7]5th Subject'!$C55</f>
        <v>27</v>
      </c>
      <c r="AF93" s="23">
        <f>'[7]5th Subject'!$D55</f>
        <v>40</v>
      </c>
      <c r="AG93" s="27">
        <f>AF93+AE93</f>
        <v>67</v>
      </c>
      <c r="AH93" s="18" t="str">
        <f>IF(AG93&lt;50,"F",IF(AG93&lt;=54.99,"P",IF(AG93&lt;=59.99,"C",IF(AG93&lt;=64.99,"B",IF(AG93&lt;=69.99,"B+",IF(AG93&lt;=74.99,"A",IF(AG93&lt;=79.99,"A+","O")))))))</f>
        <v>B+</v>
      </c>
      <c r="AI93" s="18" t="str">
        <f>IF(AG93&lt;50,"0",IF(AG93&lt;=54.99,"4",IF(AG93&lt;=59.99,"5",IF(AG93&lt;=64.99,"6",IF(AG93&lt;=69.99,"7",IF(AG93&lt;=74.99,"8",IF(AG93&lt;=79.99,"9","10")))))))</f>
        <v>7</v>
      </c>
      <c r="AJ93" s="28">
        <v>4</v>
      </c>
      <c r="AK93" s="29">
        <f>AI93*AJ93</f>
        <v>28</v>
      </c>
      <c r="AL93" s="22">
        <f>'[8]6th Subject'!$C55</f>
        <v>27</v>
      </c>
      <c r="AM93" s="22">
        <f>'[8]6th Subject'!$D55</f>
        <v>40</v>
      </c>
      <c r="AN93" s="27">
        <f>AM93+AL93</f>
        <v>67</v>
      </c>
      <c r="AO93" s="18" t="str">
        <f>IF(AN93&lt;50,"F",IF(AN93&lt;=54.99,"P",IF(AN93&lt;=59.99,"C",IF(AN93&lt;=64.99,"B",IF(AN93&lt;=69.99,"B+",IF(AN93&lt;=74.99,"A",IF(AN93&lt;=79.99,"A+","O")))))))</f>
        <v>B+</v>
      </c>
      <c r="AP93" s="18" t="str">
        <f>IF(AN93&lt;50,"0",IF(AN93&lt;=54.99,"4",IF(AN93&lt;=59.99,"5",IF(AN93&lt;=64.99,"6",IF(AN93&lt;=69.99,"7",IF(AN93&lt;=74.99,"8",IF(AN93&lt;=79.99,"9","10")))))))</f>
        <v>7</v>
      </c>
      <c r="AQ93" s="28">
        <v>4</v>
      </c>
      <c r="AR93" s="29">
        <f>AP93*AQ93</f>
        <v>28</v>
      </c>
      <c r="AS93" s="16">
        <f>'[9]7th Subject'!$C55</f>
        <v>27</v>
      </c>
      <c r="AT93" s="16">
        <f>'[9]7th Subject'!$D55</f>
        <v>40</v>
      </c>
      <c r="AU93" s="27">
        <f>AT93+AS93</f>
        <v>67</v>
      </c>
      <c r="AV93" s="18" t="str">
        <f>IF(AU93&lt;50,"F",IF(AU93&lt;=54.99,"P",IF(AU93&lt;=59.99,"C",IF(AU93&lt;=64.99,"B",IF(AU93&lt;=69.99,"B+",IF(AU93&lt;=74.99,"A",IF(AU93&lt;=79.99,"A+","O")))))))</f>
        <v>B+</v>
      </c>
      <c r="AW93" s="18" t="str">
        <f>IF(AU93&lt;50,"0",IF(AU93&lt;=54.99,"4",IF(AU93&lt;=59.99,"5",IF(AU93&lt;=64.99,"6",IF(AU93&lt;=69.99,"7",IF(AU93&lt;=74.99,"8",IF(AU93&lt;=79.99,"9","10")))))))</f>
        <v>7</v>
      </c>
      <c r="AX93" s="28">
        <v>4</v>
      </c>
      <c r="AY93" s="29">
        <f>AW93*AX93</f>
        <v>28</v>
      </c>
      <c r="AZ93" s="22">
        <f>'[10]8th Subject'!$C55</f>
        <v>27</v>
      </c>
      <c r="BA93" s="22">
        <f>'[10]8th Subject'!$D55</f>
        <v>40</v>
      </c>
      <c r="BB93" s="27">
        <f>BA93+AZ93</f>
        <v>67</v>
      </c>
      <c r="BC93" s="18" t="str">
        <f>IF(BB93&lt;50,"F",IF(BB93&lt;=54.99,"P",IF(BB93&lt;=59.99,"C",IF(BB93&lt;=64.99,"B",IF(BB93&lt;=69.99,"B+",IF(BB93&lt;=74.99,"A",IF(BB93&lt;=79.99,"A+","O")))))))</f>
        <v>B+</v>
      </c>
      <c r="BD93" s="18" t="str">
        <f>IF(BB93&lt;50,"0",IF(BB93&lt;=54.99,"4",IF(BB93&lt;=59.99,"5",IF(BB93&lt;=64.99,"6",IF(BB93&lt;=69.99,"7",IF(BB93&lt;=74.99,"8",IF(BB93&lt;=79.99,"9","10")))))))</f>
        <v>7</v>
      </c>
      <c r="BE93" s="28">
        <v>4</v>
      </c>
      <c r="BF93" s="29">
        <f>BD93*BE93</f>
        <v>28</v>
      </c>
      <c r="BG93" s="27">
        <f>AZ93+AS93+AE93+X93+J93+C93+Q93+AL93</f>
        <v>216</v>
      </c>
      <c r="BH93" s="27">
        <f>BA93+AT93+AF93+Y93+K93+D93+R93+AM93</f>
        <v>320</v>
      </c>
      <c r="BI93" s="27">
        <f>BH93+BG93</f>
        <v>536</v>
      </c>
      <c r="BJ93" s="30">
        <f>G93+N93+U93+AB93+AI93+AP93+BD93+AW93</f>
        <v>56</v>
      </c>
      <c r="BK93" s="30">
        <f>I93+P93+W93+AD93+AK93+AY93+BF93+AR93</f>
        <v>224</v>
      </c>
      <c r="BL93" s="25">
        <f>(BN93-0.75)*10</f>
        <v>62.5</v>
      </c>
      <c r="BM93" s="17" t="str">
        <f>IF(OR(C93&lt;20,D93&lt;30,J93&lt;20,K93&lt;30,Q93&lt;20,R93&lt;30,X93&lt;20,Y93&lt;30,AE93&lt;20,AF93&lt;30,AL93&lt;20,AM93&lt;30,AS93&lt;20,AT93&lt;30,AZ93&lt;20,BA93&lt;30),"Unsuccessful","Successful")</f>
        <v>Successful</v>
      </c>
      <c r="BN93" s="31">
        <f>BK93/32</f>
        <v>7</v>
      </c>
      <c r="BO93" s="18" t="str">
        <f>IF(BN93&lt;=4,"F",IF(BN93&lt;=4.5,"P",IF(BN93&lt;=5.5,"C",IF(BN93&lt;=6.5,"B",IF(BN93&lt;=7.5,"B+",IF(BN93&lt;=8.5,"A",IF(BN93&lt;=9.5,"A+","O")))))))</f>
        <v>B+</v>
      </c>
      <c r="BP93" s="14" t="str">
        <f>IF(BN93&lt;=4,"50",IF(BN93&lt;=4.5,"50-54.99",IF(BN93&lt;=5.5,"55-59.99",IF(BN93&lt;=6.5,"60-64.99",IF(BN93&lt;=7.5,"65-69.99",IF(BN93&lt;=8.5,"70-74.99",IF(BN93&lt;=9.5,"75-79.99","10")))))))</f>
        <v>65-69.99</v>
      </c>
      <c r="BS93">
        <f>RANK(BN93,$BN$3:$BN$135)</f>
        <v>68</v>
      </c>
    </row>
    <row r="94" spans="1:71" x14ac:dyDescent="0.25">
      <c r="A94" s="14" t="str">
        <f>[2]Sheet1!$A65</f>
        <v>MMS18-20/064</v>
      </c>
      <c r="B94" s="15" t="str">
        <f>[2]Sheet1!$B65</f>
        <v>DALVI AKASH SHANKAR NIRMALA</v>
      </c>
      <c r="C94" s="16">
        <f>'[3]1st Subject'!$C66</f>
        <v>27</v>
      </c>
      <c r="D94" s="16">
        <f>'[3]1st Subject'!$D66</f>
        <v>40</v>
      </c>
      <c r="E94" s="27">
        <f>D94+C94</f>
        <v>67</v>
      </c>
      <c r="F94" s="18" t="str">
        <f>IF(E94&lt;50,"F",IF(E94&lt;=54.99,"P",IF(E94&lt;=59.99,"C",IF(E94&lt;=64.99,"B",IF(E94&lt;=69.99,"B+",IF(E94&lt;=74.99,"A",IF(E94&lt;=79.99,"A+","O")))))))</f>
        <v>B+</v>
      </c>
      <c r="G94" s="18" t="str">
        <f>IF(E94&lt;50,"0",IF(E94&lt;=54.99,"4",IF(E94&lt;=59.99,"5",IF(E94&lt;=64.99,"6",IF(E94&lt;=69.99,"7",IF(E94&lt;=74.99,"8",IF(E94&lt;=79.99,"9","10")))))))</f>
        <v>7</v>
      </c>
      <c r="H94" s="28">
        <v>4</v>
      </c>
      <c r="I94" s="29">
        <f>G94*H94</f>
        <v>28</v>
      </c>
      <c r="J94" s="16">
        <f>'[4]2nd Subject'!$C66</f>
        <v>27</v>
      </c>
      <c r="K94" s="16">
        <f>'[4]2nd Subject'!$D66</f>
        <v>40</v>
      </c>
      <c r="L94" s="27">
        <f>K94+J94</f>
        <v>67</v>
      </c>
      <c r="M94" s="18" t="str">
        <f>IF(L94&lt;50,"F",IF(L94&lt;=54.99,"P",IF(L94&lt;=59.99,"C",IF(L94&lt;=64.99,"B",IF(L94&lt;=69.99,"B+",IF(L94&lt;=74.99,"A",IF(L94&lt;=79.99,"A+","O")))))))</f>
        <v>B+</v>
      </c>
      <c r="N94" s="18" t="str">
        <f>IF(L94&lt;50,"0",IF(L94&lt;=54.99,"4",IF(L94&lt;=59.99,"5",IF(L94&lt;=64.99,"6",IF(L94&lt;=69.99,"7",IF(L94&lt;=74.99,"8",IF(L94&lt;=79.99,"9","10")))))))</f>
        <v>7</v>
      </c>
      <c r="O94" s="28">
        <v>4</v>
      </c>
      <c r="P94" s="29">
        <f>N94*O94</f>
        <v>28</v>
      </c>
      <c r="Q94" s="21">
        <f>'[5]3rd Subject'!$C66</f>
        <v>27</v>
      </c>
      <c r="R94" s="21">
        <f>'[5]3rd Subject'!$D66</f>
        <v>40</v>
      </c>
      <c r="S94" s="27">
        <f>R94+Q94</f>
        <v>67</v>
      </c>
      <c r="T94" s="18" t="str">
        <f>IF(S94&lt;50,"F",IF(S94&lt;=54.99,"P",IF(S94&lt;=59.99,"C",IF(S94&lt;=64.99,"B",IF(S94&lt;=69.99,"B+",IF(S94&lt;=74.99,"A",IF(S94&lt;=79.99,"A+","O")))))))</f>
        <v>B+</v>
      </c>
      <c r="U94" s="18" t="str">
        <f>IF(S94&lt;50,"0",IF(S94&lt;=54.99,"4",IF(S94&lt;=59.99,"5",IF(S94&lt;=64.99,"6",IF(S94&lt;=69.99,"7",IF(S94&lt;=74.99,"8",IF(S94&lt;=79.99,"9","10")))))))</f>
        <v>7</v>
      </c>
      <c r="V94" s="28">
        <v>4</v>
      </c>
      <c r="W94" s="29">
        <f>U94*V94</f>
        <v>28</v>
      </c>
      <c r="X94" s="22">
        <f>'[6]4th Subject'!$C66</f>
        <v>27</v>
      </c>
      <c r="Y94" s="23">
        <f>'[6]4th Subject'!$D66</f>
        <v>40</v>
      </c>
      <c r="Z94" s="27">
        <f>Y94+X94</f>
        <v>67</v>
      </c>
      <c r="AA94" s="18" t="str">
        <f>IF(Z94&lt;50,"F",IF(Z94&lt;=54.99,"P",IF(Z94&lt;=59.99,"C",IF(Z94&lt;=64.99,"B",IF(Z94&lt;=69.99,"B+",IF(Z94&lt;=74.99,"A",IF(Z94&lt;=79.99,"A+","O")))))))</f>
        <v>B+</v>
      </c>
      <c r="AB94" s="18" t="str">
        <f>IF(Z94&lt;50,"0",IF(Z94&lt;=54.99,"4",IF(Z94&lt;=59.99,"5",IF(Z94&lt;=64.99,"6",IF(Z94&lt;=69.99,"7",IF(Z94&lt;=74.99,"8",IF(Z94&lt;=79.99,"9","10")))))))</f>
        <v>7</v>
      </c>
      <c r="AC94" s="28">
        <v>4</v>
      </c>
      <c r="AD94" s="29">
        <f>AB94*AC94</f>
        <v>28</v>
      </c>
      <c r="AE94" s="22">
        <f>'[7]5th Subject'!$C66</f>
        <v>27</v>
      </c>
      <c r="AF94" s="23">
        <f>'[7]5th Subject'!$D66</f>
        <v>40</v>
      </c>
      <c r="AG94" s="27">
        <f>AF94+AE94</f>
        <v>67</v>
      </c>
      <c r="AH94" s="18" t="str">
        <f>IF(AG94&lt;50,"F",IF(AG94&lt;=54.99,"P",IF(AG94&lt;=59.99,"C",IF(AG94&lt;=64.99,"B",IF(AG94&lt;=69.99,"B+",IF(AG94&lt;=74.99,"A",IF(AG94&lt;=79.99,"A+","O")))))))</f>
        <v>B+</v>
      </c>
      <c r="AI94" s="18" t="str">
        <f>IF(AG94&lt;50,"0",IF(AG94&lt;=54.99,"4",IF(AG94&lt;=59.99,"5",IF(AG94&lt;=64.99,"6",IF(AG94&lt;=69.99,"7",IF(AG94&lt;=74.99,"8",IF(AG94&lt;=79.99,"9","10")))))))</f>
        <v>7</v>
      </c>
      <c r="AJ94" s="28">
        <v>4</v>
      </c>
      <c r="AK94" s="29">
        <f>AI94*AJ94</f>
        <v>28</v>
      </c>
      <c r="AL94" s="22">
        <f>'[8]6th Subject'!$C66</f>
        <v>27</v>
      </c>
      <c r="AM94" s="22">
        <f>'[8]6th Subject'!$D66</f>
        <v>40</v>
      </c>
      <c r="AN94" s="27">
        <f>AM94+AL94</f>
        <v>67</v>
      </c>
      <c r="AO94" s="18" t="str">
        <f>IF(AN94&lt;50,"F",IF(AN94&lt;=54.99,"P",IF(AN94&lt;=59.99,"C",IF(AN94&lt;=64.99,"B",IF(AN94&lt;=69.99,"B+",IF(AN94&lt;=74.99,"A",IF(AN94&lt;=79.99,"A+","O")))))))</f>
        <v>B+</v>
      </c>
      <c r="AP94" s="18" t="str">
        <f>IF(AN94&lt;50,"0",IF(AN94&lt;=54.99,"4",IF(AN94&lt;=59.99,"5",IF(AN94&lt;=64.99,"6",IF(AN94&lt;=69.99,"7",IF(AN94&lt;=74.99,"8",IF(AN94&lt;=79.99,"9","10")))))))</f>
        <v>7</v>
      </c>
      <c r="AQ94" s="28">
        <v>4</v>
      </c>
      <c r="AR94" s="29">
        <f>AP94*AQ94</f>
        <v>28</v>
      </c>
      <c r="AS94" s="16">
        <f>'[9]7th Subject'!$C66</f>
        <v>27</v>
      </c>
      <c r="AT94" s="16">
        <f>'[9]7th Subject'!$D66</f>
        <v>40</v>
      </c>
      <c r="AU94" s="27">
        <f>AT94+AS94</f>
        <v>67</v>
      </c>
      <c r="AV94" s="18" t="str">
        <f>IF(AU94&lt;50,"F",IF(AU94&lt;=54.99,"P",IF(AU94&lt;=59.99,"C",IF(AU94&lt;=64.99,"B",IF(AU94&lt;=69.99,"B+",IF(AU94&lt;=74.99,"A",IF(AU94&lt;=79.99,"A+","O")))))))</f>
        <v>B+</v>
      </c>
      <c r="AW94" s="18" t="str">
        <f>IF(AU94&lt;50,"0",IF(AU94&lt;=54.99,"4",IF(AU94&lt;=59.99,"5",IF(AU94&lt;=64.99,"6",IF(AU94&lt;=69.99,"7",IF(AU94&lt;=74.99,"8",IF(AU94&lt;=79.99,"9","10")))))))</f>
        <v>7</v>
      </c>
      <c r="AX94" s="28">
        <v>4</v>
      </c>
      <c r="AY94" s="29">
        <f>AW94*AX94</f>
        <v>28</v>
      </c>
      <c r="AZ94" s="22">
        <f>'[10]8th Subject'!$C66</f>
        <v>27</v>
      </c>
      <c r="BA94" s="22">
        <f>'[10]8th Subject'!$D66</f>
        <v>40</v>
      </c>
      <c r="BB94" s="27">
        <f>BA94+AZ94</f>
        <v>67</v>
      </c>
      <c r="BC94" s="18" t="str">
        <f>IF(BB94&lt;50,"F",IF(BB94&lt;=54.99,"P",IF(BB94&lt;=59.99,"C",IF(BB94&lt;=64.99,"B",IF(BB94&lt;=69.99,"B+",IF(BB94&lt;=74.99,"A",IF(BB94&lt;=79.99,"A+","O")))))))</f>
        <v>B+</v>
      </c>
      <c r="BD94" s="18" t="str">
        <f>IF(BB94&lt;50,"0",IF(BB94&lt;=54.99,"4",IF(BB94&lt;=59.99,"5",IF(BB94&lt;=64.99,"6",IF(BB94&lt;=69.99,"7",IF(BB94&lt;=74.99,"8",IF(BB94&lt;=79.99,"9","10")))))))</f>
        <v>7</v>
      </c>
      <c r="BE94" s="28">
        <v>4</v>
      </c>
      <c r="BF94" s="29">
        <f>BD94*BE94</f>
        <v>28</v>
      </c>
      <c r="BG94" s="27">
        <f>AZ94+AS94+AE94+X94+J94+C94+Q94+AL94</f>
        <v>216</v>
      </c>
      <c r="BH94" s="27">
        <f>BA94+AT94+AF94+Y94+K94+D94+R94+AM94</f>
        <v>320</v>
      </c>
      <c r="BI94" s="27">
        <f>BH94+BG94</f>
        <v>536</v>
      </c>
      <c r="BJ94" s="30">
        <f>G94+N94+U94+AB94+AI94+AP94+BD94+AW94</f>
        <v>56</v>
      </c>
      <c r="BK94" s="30">
        <f>I94+P94+W94+AD94+AK94+AY94+BF94+AR94</f>
        <v>224</v>
      </c>
      <c r="BL94" s="25">
        <f>(BN94-0.75)*10</f>
        <v>62.5</v>
      </c>
      <c r="BM94" s="17" t="str">
        <f>IF(OR(C94&lt;20,D94&lt;30,J94&lt;20,K94&lt;30,Q94&lt;20,R94&lt;30,X94&lt;20,Y94&lt;30,AE94&lt;20,AF94&lt;30,AL94&lt;20,AM94&lt;30,AS94&lt;20,AT94&lt;30,AZ94&lt;20,BA94&lt;30),"Unsuccessful","Successful")</f>
        <v>Successful</v>
      </c>
      <c r="BN94" s="31">
        <f>BK94/32</f>
        <v>7</v>
      </c>
      <c r="BO94" s="18" t="str">
        <f>IF(BN94&lt;=4,"F",IF(BN94&lt;=4.5,"P",IF(BN94&lt;=5.5,"C",IF(BN94&lt;=6.5,"B",IF(BN94&lt;=7.5,"B+",IF(BN94&lt;=8.5,"A",IF(BN94&lt;=9.5,"A+","O")))))))</f>
        <v>B+</v>
      </c>
      <c r="BP94" s="14" t="str">
        <f>IF(BN94&lt;=4,"50",IF(BN94&lt;=4.5,"50-54.99",IF(BN94&lt;=5.5,"55-59.99",IF(BN94&lt;=6.5,"60-64.99",IF(BN94&lt;=7.5,"65-69.99",IF(BN94&lt;=8.5,"70-74.99",IF(BN94&lt;=9.5,"75-79.99","10")))))))</f>
        <v>65-69.99</v>
      </c>
      <c r="BS94">
        <f>RANK(BN94,$BN$3:$BN$135)</f>
        <v>68</v>
      </c>
    </row>
    <row r="95" spans="1:71" x14ac:dyDescent="0.25">
      <c r="A95" s="14" t="str">
        <f>[2]Sheet1!$A76</f>
        <v>MMS18-20/075</v>
      </c>
      <c r="B95" s="15" t="str">
        <f>[2]Sheet1!$B76</f>
        <v>/MAURYA NEHA JAYSHANKAR GEETA</v>
      </c>
      <c r="C95" s="16">
        <f>'[3]1st Subject'!$C77</f>
        <v>27</v>
      </c>
      <c r="D95" s="16">
        <f>'[3]1st Subject'!$D77</f>
        <v>40</v>
      </c>
      <c r="E95" s="27">
        <f>D95+C95</f>
        <v>67</v>
      </c>
      <c r="F95" s="18" t="str">
        <f>IF(E95&lt;50,"F",IF(E95&lt;=54.99,"P",IF(E95&lt;=59.99,"C",IF(E95&lt;=64.99,"B",IF(E95&lt;=69.99,"B+",IF(E95&lt;=74.99,"A",IF(E95&lt;=79.99,"A+","O")))))))</f>
        <v>B+</v>
      </c>
      <c r="G95" s="18" t="str">
        <f>IF(E95&lt;50,"0",IF(E95&lt;=54.99,"4",IF(E95&lt;=59.99,"5",IF(E95&lt;=64.99,"6",IF(E95&lt;=69.99,"7",IF(E95&lt;=74.99,"8",IF(E95&lt;=79.99,"9","10")))))))</f>
        <v>7</v>
      </c>
      <c r="H95" s="28">
        <v>4</v>
      </c>
      <c r="I95" s="29">
        <f>G95*H95</f>
        <v>28</v>
      </c>
      <c r="J95" s="16">
        <f>'[4]2nd Subject'!$C77</f>
        <v>27</v>
      </c>
      <c r="K95" s="16">
        <f>'[4]2nd Subject'!$D77</f>
        <v>40</v>
      </c>
      <c r="L95" s="27">
        <f>K95+J95</f>
        <v>67</v>
      </c>
      <c r="M95" s="18" t="str">
        <f>IF(L95&lt;50,"F",IF(L95&lt;=54.99,"P",IF(L95&lt;=59.99,"C",IF(L95&lt;=64.99,"B",IF(L95&lt;=69.99,"B+",IF(L95&lt;=74.99,"A",IF(L95&lt;=79.99,"A+","O")))))))</f>
        <v>B+</v>
      </c>
      <c r="N95" s="18" t="str">
        <f>IF(L95&lt;50,"0",IF(L95&lt;=54.99,"4",IF(L95&lt;=59.99,"5",IF(L95&lt;=64.99,"6",IF(L95&lt;=69.99,"7",IF(L95&lt;=74.99,"8",IF(L95&lt;=79.99,"9","10")))))))</f>
        <v>7</v>
      </c>
      <c r="O95" s="28">
        <v>4</v>
      </c>
      <c r="P95" s="29">
        <f>N95*O95</f>
        <v>28</v>
      </c>
      <c r="Q95" s="21">
        <f>'[5]3rd Subject'!$C77</f>
        <v>27</v>
      </c>
      <c r="R95" s="21">
        <f>'[5]3rd Subject'!$D77</f>
        <v>40</v>
      </c>
      <c r="S95" s="27">
        <f>R95+Q95</f>
        <v>67</v>
      </c>
      <c r="T95" s="18" t="str">
        <f>IF(S95&lt;50,"F",IF(S95&lt;=54.99,"P",IF(S95&lt;=59.99,"C",IF(S95&lt;=64.99,"B",IF(S95&lt;=69.99,"B+",IF(S95&lt;=74.99,"A",IF(S95&lt;=79.99,"A+","O")))))))</f>
        <v>B+</v>
      </c>
      <c r="U95" s="18" t="str">
        <f>IF(S95&lt;50,"0",IF(S95&lt;=54.99,"4",IF(S95&lt;=59.99,"5",IF(S95&lt;=64.99,"6",IF(S95&lt;=69.99,"7",IF(S95&lt;=74.99,"8",IF(S95&lt;=79.99,"9","10")))))))</f>
        <v>7</v>
      </c>
      <c r="V95" s="28">
        <v>4</v>
      </c>
      <c r="W95" s="29">
        <f>U95*V95</f>
        <v>28</v>
      </c>
      <c r="X95" s="22">
        <f>'[6]4th Subject'!$C77</f>
        <v>27</v>
      </c>
      <c r="Y95" s="23">
        <f>'[6]4th Subject'!$D77</f>
        <v>40</v>
      </c>
      <c r="Z95" s="27">
        <f>Y95+X95</f>
        <v>67</v>
      </c>
      <c r="AA95" s="18" t="str">
        <f>IF(Z95&lt;50,"F",IF(Z95&lt;=54.99,"P",IF(Z95&lt;=59.99,"C",IF(Z95&lt;=64.99,"B",IF(Z95&lt;=69.99,"B+",IF(Z95&lt;=74.99,"A",IF(Z95&lt;=79.99,"A+","O")))))))</f>
        <v>B+</v>
      </c>
      <c r="AB95" s="18" t="str">
        <f>IF(Z95&lt;50,"0",IF(Z95&lt;=54.99,"4",IF(Z95&lt;=59.99,"5",IF(Z95&lt;=64.99,"6",IF(Z95&lt;=69.99,"7",IF(Z95&lt;=74.99,"8",IF(Z95&lt;=79.99,"9","10")))))))</f>
        <v>7</v>
      </c>
      <c r="AC95" s="28">
        <v>4</v>
      </c>
      <c r="AD95" s="29">
        <f>AB95*AC95</f>
        <v>28</v>
      </c>
      <c r="AE95" s="22">
        <f>'[7]5th Subject'!$C77</f>
        <v>27</v>
      </c>
      <c r="AF95" s="23">
        <f>'[7]5th Subject'!$D77</f>
        <v>40</v>
      </c>
      <c r="AG95" s="27">
        <f>AF95+AE95</f>
        <v>67</v>
      </c>
      <c r="AH95" s="18" t="str">
        <f>IF(AG95&lt;50,"F",IF(AG95&lt;=54.99,"P",IF(AG95&lt;=59.99,"C",IF(AG95&lt;=64.99,"B",IF(AG95&lt;=69.99,"B+",IF(AG95&lt;=74.99,"A",IF(AG95&lt;=79.99,"A+","O")))))))</f>
        <v>B+</v>
      </c>
      <c r="AI95" s="18" t="str">
        <f>IF(AG95&lt;50,"0",IF(AG95&lt;=54.99,"4",IF(AG95&lt;=59.99,"5",IF(AG95&lt;=64.99,"6",IF(AG95&lt;=69.99,"7",IF(AG95&lt;=74.99,"8",IF(AG95&lt;=79.99,"9","10")))))))</f>
        <v>7</v>
      </c>
      <c r="AJ95" s="28">
        <v>4</v>
      </c>
      <c r="AK95" s="29">
        <f>AI95*AJ95</f>
        <v>28</v>
      </c>
      <c r="AL95" s="22">
        <f>'[8]6th Subject'!$C77</f>
        <v>27</v>
      </c>
      <c r="AM95" s="22">
        <f>'[8]6th Subject'!$D77</f>
        <v>40</v>
      </c>
      <c r="AN95" s="27">
        <f>AM95+AL95</f>
        <v>67</v>
      </c>
      <c r="AO95" s="18" t="str">
        <f>IF(AN95&lt;50,"F",IF(AN95&lt;=54.99,"P",IF(AN95&lt;=59.99,"C",IF(AN95&lt;=64.99,"B",IF(AN95&lt;=69.99,"B+",IF(AN95&lt;=74.99,"A",IF(AN95&lt;=79.99,"A+","O")))))))</f>
        <v>B+</v>
      </c>
      <c r="AP95" s="18" t="str">
        <f>IF(AN95&lt;50,"0",IF(AN95&lt;=54.99,"4",IF(AN95&lt;=59.99,"5",IF(AN95&lt;=64.99,"6",IF(AN95&lt;=69.99,"7",IF(AN95&lt;=74.99,"8",IF(AN95&lt;=79.99,"9","10")))))))</f>
        <v>7</v>
      </c>
      <c r="AQ95" s="28">
        <v>4</v>
      </c>
      <c r="AR95" s="29">
        <f>AP95*AQ95</f>
        <v>28</v>
      </c>
      <c r="AS95" s="16">
        <f>'[9]7th Subject'!$C77</f>
        <v>27</v>
      </c>
      <c r="AT95" s="16">
        <f>'[9]7th Subject'!$D77</f>
        <v>40</v>
      </c>
      <c r="AU95" s="27">
        <f>AT95+AS95</f>
        <v>67</v>
      </c>
      <c r="AV95" s="18" t="str">
        <f>IF(AU95&lt;50,"F",IF(AU95&lt;=54.99,"P",IF(AU95&lt;=59.99,"C",IF(AU95&lt;=64.99,"B",IF(AU95&lt;=69.99,"B+",IF(AU95&lt;=74.99,"A",IF(AU95&lt;=79.99,"A+","O")))))))</f>
        <v>B+</v>
      </c>
      <c r="AW95" s="18" t="str">
        <f>IF(AU95&lt;50,"0",IF(AU95&lt;=54.99,"4",IF(AU95&lt;=59.99,"5",IF(AU95&lt;=64.99,"6",IF(AU95&lt;=69.99,"7",IF(AU95&lt;=74.99,"8",IF(AU95&lt;=79.99,"9","10")))))))</f>
        <v>7</v>
      </c>
      <c r="AX95" s="28">
        <v>4</v>
      </c>
      <c r="AY95" s="29">
        <f>AW95*AX95</f>
        <v>28</v>
      </c>
      <c r="AZ95" s="22">
        <f>'[10]8th Subject'!$C77</f>
        <v>27</v>
      </c>
      <c r="BA95" s="22">
        <f>'[10]8th Subject'!$D77</f>
        <v>40</v>
      </c>
      <c r="BB95" s="27">
        <f>BA95+AZ95</f>
        <v>67</v>
      </c>
      <c r="BC95" s="18" t="str">
        <f>IF(BB95&lt;50,"F",IF(BB95&lt;=54.99,"P",IF(BB95&lt;=59.99,"C",IF(BB95&lt;=64.99,"B",IF(BB95&lt;=69.99,"B+",IF(BB95&lt;=74.99,"A",IF(BB95&lt;=79.99,"A+","O")))))))</f>
        <v>B+</v>
      </c>
      <c r="BD95" s="18" t="str">
        <f>IF(BB95&lt;50,"0",IF(BB95&lt;=54.99,"4",IF(BB95&lt;=59.99,"5",IF(BB95&lt;=64.99,"6",IF(BB95&lt;=69.99,"7",IF(BB95&lt;=74.99,"8",IF(BB95&lt;=79.99,"9","10")))))))</f>
        <v>7</v>
      </c>
      <c r="BE95" s="28">
        <v>4</v>
      </c>
      <c r="BF95" s="29">
        <f>BD95*BE95</f>
        <v>28</v>
      </c>
      <c r="BG95" s="27">
        <f>AZ95+AS95+AE95+X95+J95+C95+Q95+AL95</f>
        <v>216</v>
      </c>
      <c r="BH95" s="27">
        <f>BA95+AT95+AF95+Y95+K95+D95+R95+AM95</f>
        <v>320</v>
      </c>
      <c r="BI95" s="27">
        <f>BH95+BG95</f>
        <v>536</v>
      </c>
      <c r="BJ95" s="30">
        <f>G95+N95+U95+AB95+AI95+AP95+BD95+AW95</f>
        <v>56</v>
      </c>
      <c r="BK95" s="30">
        <f>I95+P95+W95+AD95+AK95+AY95+BF95+AR95</f>
        <v>224</v>
      </c>
      <c r="BL95" s="25">
        <f>(BN95-0.75)*10</f>
        <v>62.5</v>
      </c>
      <c r="BM95" s="17" t="str">
        <f>IF(OR(C95&lt;20,D95&lt;30,J95&lt;20,K95&lt;30,Q95&lt;20,R95&lt;30,X95&lt;20,Y95&lt;30,AE95&lt;20,AF95&lt;30,AL95&lt;20,AM95&lt;30,AS95&lt;20,AT95&lt;30,AZ95&lt;20,BA95&lt;30),"Unsuccessful","Successful")</f>
        <v>Successful</v>
      </c>
      <c r="BN95" s="31">
        <f>BK95/32</f>
        <v>7</v>
      </c>
      <c r="BO95" s="18" t="str">
        <f>IF(BN95&lt;=4,"F",IF(BN95&lt;=4.5,"P",IF(BN95&lt;=5.5,"C",IF(BN95&lt;=6.5,"B",IF(BN95&lt;=7.5,"B+",IF(BN95&lt;=8.5,"A",IF(BN95&lt;=9.5,"A+","O")))))))</f>
        <v>B+</v>
      </c>
      <c r="BP95" s="14" t="str">
        <f>IF(BN95&lt;=4,"50",IF(BN95&lt;=4.5,"50-54.99",IF(BN95&lt;=5.5,"55-59.99",IF(BN95&lt;=6.5,"60-64.99",IF(BN95&lt;=7.5,"65-69.99",IF(BN95&lt;=8.5,"70-74.99",IF(BN95&lt;=9.5,"75-79.99","10")))))))</f>
        <v>65-69.99</v>
      </c>
      <c r="BS95">
        <f>RANK(BN95,$BN$3:$BN$135)</f>
        <v>68</v>
      </c>
    </row>
    <row r="96" spans="1:71" x14ac:dyDescent="0.25">
      <c r="A96" s="14" t="str">
        <f>[2]Sheet1!$A87</f>
        <v>MMS18-20/086</v>
      </c>
      <c r="B96" s="15" t="str">
        <f>[2]Sheet1!$B87</f>
        <v>/RANE MAYURI SUHAS ARCHANA</v>
      </c>
      <c r="C96" s="16">
        <f>'[3]1st Subject'!$C88</f>
        <v>27</v>
      </c>
      <c r="D96" s="16">
        <f>'[3]1st Subject'!$D88</f>
        <v>40</v>
      </c>
      <c r="E96" s="27">
        <f>D96+C96</f>
        <v>67</v>
      </c>
      <c r="F96" s="18" t="str">
        <f>IF(E96&lt;50,"F",IF(E96&lt;=54.99,"P",IF(E96&lt;=59.99,"C",IF(E96&lt;=64.99,"B",IF(E96&lt;=69.99,"B+",IF(E96&lt;=74.99,"A",IF(E96&lt;=79.99,"A+","O")))))))</f>
        <v>B+</v>
      </c>
      <c r="G96" s="18" t="str">
        <f>IF(E96&lt;50,"0",IF(E96&lt;=54.99,"4",IF(E96&lt;=59.99,"5",IF(E96&lt;=64.99,"6",IF(E96&lt;=69.99,"7",IF(E96&lt;=74.99,"8",IF(E96&lt;=79.99,"9","10")))))))</f>
        <v>7</v>
      </c>
      <c r="H96" s="28">
        <v>4</v>
      </c>
      <c r="I96" s="29">
        <f>G96*H96</f>
        <v>28</v>
      </c>
      <c r="J96" s="16">
        <f>'[4]2nd Subject'!$C88</f>
        <v>27</v>
      </c>
      <c r="K96" s="16">
        <f>'[4]2nd Subject'!$D88</f>
        <v>40</v>
      </c>
      <c r="L96" s="27">
        <f>K96+J96</f>
        <v>67</v>
      </c>
      <c r="M96" s="18" t="str">
        <f>IF(L96&lt;50,"F",IF(L96&lt;=54.99,"P",IF(L96&lt;=59.99,"C",IF(L96&lt;=64.99,"B",IF(L96&lt;=69.99,"B+",IF(L96&lt;=74.99,"A",IF(L96&lt;=79.99,"A+","O")))))))</f>
        <v>B+</v>
      </c>
      <c r="N96" s="18" t="str">
        <f>IF(L96&lt;50,"0",IF(L96&lt;=54.99,"4",IF(L96&lt;=59.99,"5",IF(L96&lt;=64.99,"6",IF(L96&lt;=69.99,"7",IF(L96&lt;=74.99,"8",IF(L96&lt;=79.99,"9","10")))))))</f>
        <v>7</v>
      </c>
      <c r="O96" s="28">
        <v>4</v>
      </c>
      <c r="P96" s="29">
        <f>N96*O96</f>
        <v>28</v>
      </c>
      <c r="Q96" s="21">
        <f>'[5]3rd Subject'!$C88</f>
        <v>27</v>
      </c>
      <c r="R96" s="21">
        <f>'[5]3rd Subject'!$D88</f>
        <v>40</v>
      </c>
      <c r="S96" s="27">
        <f>R96+Q96</f>
        <v>67</v>
      </c>
      <c r="T96" s="18" t="str">
        <f>IF(S96&lt;50,"F",IF(S96&lt;=54.99,"P",IF(S96&lt;=59.99,"C",IF(S96&lt;=64.99,"B",IF(S96&lt;=69.99,"B+",IF(S96&lt;=74.99,"A",IF(S96&lt;=79.99,"A+","O")))))))</f>
        <v>B+</v>
      </c>
      <c r="U96" s="18" t="str">
        <f>IF(S96&lt;50,"0",IF(S96&lt;=54.99,"4",IF(S96&lt;=59.99,"5",IF(S96&lt;=64.99,"6",IF(S96&lt;=69.99,"7",IF(S96&lt;=74.99,"8",IF(S96&lt;=79.99,"9","10")))))))</f>
        <v>7</v>
      </c>
      <c r="V96" s="28">
        <v>4</v>
      </c>
      <c r="W96" s="29">
        <f>U96*V96</f>
        <v>28</v>
      </c>
      <c r="X96" s="22">
        <f>'[6]4th Subject'!$C88</f>
        <v>27</v>
      </c>
      <c r="Y96" s="23">
        <f>'[6]4th Subject'!$D88</f>
        <v>40</v>
      </c>
      <c r="Z96" s="27">
        <f>Y96+X96</f>
        <v>67</v>
      </c>
      <c r="AA96" s="18" t="str">
        <f>IF(Z96&lt;50,"F",IF(Z96&lt;=54.99,"P",IF(Z96&lt;=59.99,"C",IF(Z96&lt;=64.99,"B",IF(Z96&lt;=69.99,"B+",IF(Z96&lt;=74.99,"A",IF(Z96&lt;=79.99,"A+","O")))))))</f>
        <v>B+</v>
      </c>
      <c r="AB96" s="18" t="str">
        <f>IF(Z96&lt;50,"0",IF(Z96&lt;=54.99,"4",IF(Z96&lt;=59.99,"5",IF(Z96&lt;=64.99,"6",IF(Z96&lt;=69.99,"7",IF(Z96&lt;=74.99,"8",IF(Z96&lt;=79.99,"9","10")))))))</f>
        <v>7</v>
      </c>
      <c r="AC96" s="28">
        <v>4</v>
      </c>
      <c r="AD96" s="29">
        <f>AB96*AC96</f>
        <v>28</v>
      </c>
      <c r="AE96" s="22">
        <f>'[7]5th Subject'!$C88</f>
        <v>27</v>
      </c>
      <c r="AF96" s="23">
        <f>'[7]5th Subject'!$D88</f>
        <v>40</v>
      </c>
      <c r="AG96" s="27">
        <f>AF96+AE96</f>
        <v>67</v>
      </c>
      <c r="AH96" s="18" t="str">
        <f>IF(AG96&lt;50,"F",IF(AG96&lt;=54.99,"P",IF(AG96&lt;=59.99,"C",IF(AG96&lt;=64.99,"B",IF(AG96&lt;=69.99,"B+",IF(AG96&lt;=74.99,"A",IF(AG96&lt;=79.99,"A+","O")))))))</f>
        <v>B+</v>
      </c>
      <c r="AI96" s="18" t="str">
        <f>IF(AG96&lt;50,"0",IF(AG96&lt;=54.99,"4",IF(AG96&lt;=59.99,"5",IF(AG96&lt;=64.99,"6",IF(AG96&lt;=69.99,"7",IF(AG96&lt;=74.99,"8",IF(AG96&lt;=79.99,"9","10")))))))</f>
        <v>7</v>
      </c>
      <c r="AJ96" s="28">
        <v>4</v>
      </c>
      <c r="AK96" s="29">
        <f>AI96*AJ96</f>
        <v>28</v>
      </c>
      <c r="AL96" s="22">
        <f>'[8]6th Subject'!$C88</f>
        <v>27</v>
      </c>
      <c r="AM96" s="22">
        <f>'[8]6th Subject'!$D88</f>
        <v>40</v>
      </c>
      <c r="AN96" s="27">
        <f>AM96+AL96</f>
        <v>67</v>
      </c>
      <c r="AO96" s="18" t="str">
        <f>IF(AN96&lt;50,"F",IF(AN96&lt;=54.99,"P",IF(AN96&lt;=59.99,"C",IF(AN96&lt;=64.99,"B",IF(AN96&lt;=69.99,"B+",IF(AN96&lt;=74.99,"A",IF(AN96&lt;=79.99,"A+","O")))))))</f>
        <v>B+</v>
      </c>
      <c r="AP96" s="18" t="str">
        <f>IF(AN96&lt;50,"0",IF(AN96&lt;=54.99,"4",IF(AN96&lt;=59.99,"5",IF(AN96&lt;=64.99,"6",IF(AN96&lt;=69.99,"7",IF(AN96&lt;=74.99,"8",IF(AN96&lt;=79.99,"9","10")))))))</f>
        <v>7</v>
      </c>
      <c r="AQ96" s="28">
        <v>4</v>
      </c>
      <c r="AR96" s="29">
        <f>AP96*AQ96</f>
        <v>28</v>
      </c>
      <c r="AS96" s="16">
        <f>'[9]7th Subject'!$C88</f>
        <v>27</v>
      </c>
      <c r="AT96" s="16">
        <f>'[9]7th Subject'!$D88</f>
        <v>40</v>
      </c>
      <c r="AU96" s="27">
        <f>AT96+AS96</f>
        <v>67</v>
      </c>
      <c r="AV96" s="18" t="str">
        <f>IF(AU96&lt;50,"F",IF(AU96&lt;=54.99,"P",IF(AU96&lt;=59.99,"C",IF(AU96&lt;=64.99,"B",IF(AU96&lt;=69.99,"B+",IF(AU96&lt;=74.99,"A",IF(AU96&lt;=79.99,"A+","O")))))))</f>
        <v>B+</v>
      </c>
      <c r="AW96" s="18" t="str">
        <f>IF(AU96&lt;50,"0",IF(AU96&lt;=54.99,"4",IF(AU96&lt;=59.99,"5",IF(AU96&lt;=64.99,"6",IF(AU96&lt;=69.99,"7",IF(AU96&lt;=74.99,"8",IF(AU96&lt;=79.99,"9","10")))))))</f>
        <v>7</v>
      </c>
      <c r="AX96" s="28">
        <v>4</v>
      </c>
      <c r="AY96" s="29">
        <f>AW96*AX96</f>
        <v>28</v>
      </c>
      <c r="AZ96" s="22">
        <f>'[10]8th Subject'!$C88</f>
        <v>27</v>
      </c>
      <c r="BA96" s="22">
        <f>'[10]8th Subject'!$D88</f>
        <v>40</v>
      </c>
      <c r="BB96" s="27">
        <f>BA96+AZ96</f>
        <v>67</v>
      </c>
      <c r="BC96" s="18" t="str">
        <f>IF(BB96&lt;50,"F",IF(BB96&lt;=54.99,"P",IF(BB96&lt;=59.99,"C",IF(BB96&lt;=64.99,"B",IF(BB96&lt;=69.99,"B+",IF(BB96&lt;=74.99,"A",IF(BB96&lt;=79.99,"A+","O")))))))</f>
        <v>B+</v>
      </c>
      <c r="BD96" s="18" t="str">
        <f>IF(BB96&lt;50,"0",IF(BB96&lt;=54.99,"4",IF(BB96&lt;=59.99,"5",IF(BB96&lt;=64.99,"6",IF(BB96&lt;=69.99,"7",IF(BB96&lt;=74.99,"8",IF(BB96&lt;=79.99,"9","10")))))))</f>
        <v>7</v>
      </c>
      <c r="BE96" s="28">
        <v>4</v>
      </c>
      <c r="BF96" s="29">
        <f>BD96*BE96</f>
        <v>28</v>
      </c>
      <c r="BG96" s="27">
        <f>AZ96+AS96+AE96+X96+J96+C96+Q96+AL96</f>
        <v>216</v>
      </c>
      <c r="BH96" s="27">
        <f>BA96+AT96+AF96+Y96+K96+D96+R96+AM96</f>
        <v>320</v>
      </c>
      <c r="BI96" s="27">
        <f>BH96+BG96</f>
        <v>536</v>
      </c>
      <c r="BJ96" s="30">
        <f>G96+N96+U96+AB96+AI96+AP96+BD96+AW96</f>
        <v>56</v>
      </c>
      <c r="BK96" s="30">
        <f>I96+P96+W96+AD96+AK96+AY96+BF96+AR96</f>
        <v>224</v>
      </c>
      <c r="BL96" s="25">
        <f>(BN96-0.75)*10</f>
        <v>62.5</v>
      </c>
      <c r="BM96" s="17" t="str">
        <f>IF(OR(C96&lt;20,D96&lt;30,J96&lt;20,K96&lt;30,Q96&lt;20,R96&lt;30,X96&lt;20,Y96&lt;30,AE96&lt;20,AF96&lt;30,AL96&lt;20,AM96&lt;30,AS96&lt;20,AT96&lt;30,AZ96&lt;20,BA96&lt;30),"Unsuccessful","Successful")</f>
        <v>Successful</v>
      </c>
      <c r="BN96" s="31">
        <f>BK96/32</f>
        <v>7</v>
      </c>
      <c r="BO96" s="18" t="str">
        <f>IF(BN96&lt;=4,"F",IF(BN96&lt;=4.5,"P",IF(BN96&lt;=5.5,"C",IF(BN96&lt;=6.5,"B",IF(BN96&lt;=7.5,"B+",IF(BN96&lt;=8.5,"A",IF(BN96&lt;=9.5,"A+","O")))))))</f>
        <v>B+</v>
      </c>
      <c r="BP96" s="14" t="str">
        <f>IF(BN96&lt;=4,"50",IF(BN96&lt;=4.5,"50-54.99",IF(BN96&lt;=5.5,"55-59.99",IF(BN96&lt;=6.5,"60-64.99",IF(BN96&lt;=7.5,"65-69.99",IF(BN96&lt;=8.5,"70-74.99",IF(BN96&lt;=9.5,"75-79.99","10")))))))</f>
        <v>65-69.99</v>
      </c>
      <c r="BS96">
        <f>RANK(BN96,$BN$3:$BN$135)</f>
        <v>68</v>
      </c>
    </row>
    <row r="97" spans="1:71" x14ac:dyDescent="0.25">
      <c r="A97" s="14" t="str">
        <f>[2]Sheet1!$A98</f>
        <v>MMS18-20/097</v>
      </c>
      <c r="B97" s="15" t="str">
        <f>[2]Sheet1!$B98</f>
        <v>SHINDE NIKHIL KRISHNAT MANISHA</v>
      </c>
      <c r="C97" s="16">
        <f>'[3]1st Subject'!$C99</f>
        <v>27</v>
      </c>
      <c r="D97" s="16">
        <f>'[3]1st Subject'!$D99</f>
        <v>40</v>
      </c>
      <c r="E97" s="27">
        <f>D97+C97</f>
        <v>67</v>
      </c>
      <c r="F97" s="18" t="str">
        <f>IF(E97&lt;50,"F",IF(E97&lt;=54.99,"P",IF(E97&lt;=59.99,"C",IF(E97&lt;=64.99,"B",IF(E97&lt;=69.99,"B+",IF(E97&lt;=74.99,"A",IF(E97&lt;=79.99,"A+","O")))))))</f>
        <v>B+</v>
      </c>
      <c r="G97" s="18" t="str">
        <f>IF(E97&lt;50,"0",IF(E97&lt;=54.99,"4",IF(E97&lt;=59.99,"5",IF(E97&lt;=64.99,"6",IF(E97&lt;=69.99,"7",IF(E97&lt;=74.99,"8",IF(E97&lt;=79.99,"9","10")))))))</f>
        <v>7</v>
      </c>
      <c r="H97" s="28">
        <v>4</v>
      </c>
      <c r="I97" s="29">
        <f>G97*H97</f>
        <v>28</v>
      </c>
      <c r="J97" s="16">
        <f>'[4]2nd Subject'!$C99</f>
        <v>27</v>
      </c>
      <c r="K97" s="16">
        <f>'[4]2nd Subject'!$D99</f>
        <v>40</v>
      </c>
      <c r="L97" s="27">
        <f>K97+J97</f>
        <v>67</v>
      </c>
      <c r="M97" s="18" t="str">
        <f>IF(L97&lt;50,"F",IF(L97&lt;=54.99,"P",IF(L97&lt;=59.99,"C",IF(L97&lt;=64.99,"B",IF(L97&lt;=69.99,"B+",IF(L97&lt;=74.99,"A",IF(L97&lt;=79.99,"A+","O")))))))</f>
        <v>B+</v>
      </c>
      <c r="N97" s="18" t="str">
        <f>IF(L97&lt;50,"0",IF(L97&lt;=54.99,"4",IF(L97&lt;=59.99,"5",IF(L97&lt;=64.99,"6",IF(L97&lt;=69.99,"7",IF(L97&lt;=74.99,"8",IF(L97&lt;=79.99,"9","10")))))))</f>
        <v>7</v>
      </c>
      <c r="O97" s="28">
        <v>4</v>
      </c>
      <c r="P97" s="29">
        <f>N97*O97</f>
        <v>28</v>
      </c>
      <c r="Q97" s="21">
        <f>'[5]3rd Subject'!$C99</f>
        <v>27</v>
      </c>
      <c r="R97" s="21">
        <f>'[5]3rd Subject'!$D99</f>
        <v>40</v>
      </c>
      <c r="S97" s="27">
        <f>R97+Q97</f>
        <v>67</v>
      </c>
      <c r="T97" s="18" t="str">
        <f>IF(S97&lt;50,"F",IF(S97&lt;=54.99,"P",IF(S97&lt;=59.99,"C",IF(S97&lt;=64.99,"B",IF(S97&lt;=69.99,"B+",IF(S97&lt;=74.99,"A",IF(S97&lt;=79.99,"A+","O")))))))</f>
        <v>B+</v>
      </c>
      <c r="U97" s="18" t="str">
        <f>IF(S97&lt;50,"0",IF(S97&lt;=54.99,"4",IF(S97&lt;=59.99,"5",IF(S97&lt;=64.99,"6",IF(S97&lt;=69.99,"7",IF(S97&lt;=74.99,"8",IF(S97&lt;=79.99,"9","10")))))))</f>
        <v>7</v>
      </c>
      <c r="V97" s="28">
        <v>4</v>
      </c>
      <c r="W97" s="29">
        <f>U97*V97</f>
        <v>28</v>
      </c>
      <c r="X97" s="22">
        <f>'[6]4th Subject'!$C99</f>
        <v>27</v>
      </c>
      <c r="Y97" s="23">
        <f>'[6]4th Subject'!$D99</f>
        <v>40</v>
      </c>
      <c r="Z97" s="27">
        <f>Y97+X97</f>
        <v>67</v>
      </c>
      <c r="AA97" s="18" t="str">
        <f>IF(Z97&lt;50,"F",IF(Z97&lt;=54.99,"P",IF(Z97&lt;=59.99,"C",IF(Z97&lt;=64.99,"B",IF(Z97&lt;=69.99,"B+",IF(Z97&lt;=74.99,"A",IF(Z97&lt;=79.99,"A+","O")))))))</f>
        <v>B+</v>
      </c>
      <c r="AB97" s="18" t="str">
        <f>IF(Z97&lt;50,"0",IF(Z97&lt;=54.99,"4",IF(Z97&lt;=59.99,"5",IF(Z97&lt;=64.99,"6",IF(Z97&lt;=69.99,"7",IF(Z97&lt;=74.99,"8",IF(Z97&lt;=79.99,"9","10")))))))</f>
        <v>7</v>
      </c>
      <c r="AC97" s="28">
        <v>4</v>
      </c>
      <c r="AD97" s="29">
        <f>AB97*AC97</f>
        <v>28</v>
      </c>
      <c r="AE97" s="22">
        <f>'[7]5th Subject'!$C99</f>
        <v>27</v>
      </c>
      <c r="AF97" s="23">
        <f>'[7]5th Subject'!$D99</f>
        <v>40</v>
      </c>
      <c r="AG97" s="27">
        <f>AF97+AE97</f>
        <v>67</v>
      </c>
      <c r="AH97" s="18" t="str">
        <f>IF(AG97&lt;50,"F",IF(AG97&lt;=54.99,"P",IF(AG97&lt;=59.99,"C",IF(AG97&lt;=64.99,"B",IF(AG97&lt;=69.99,"B+",IF(AG97&lt;=74.99,"A",IF(AG97&lt;=79.99,"A+","O")))))))</f>
        <v>B+</v>
      </c>
      <c r="AI97" s="18" t="str">
        <f>IF(AG97&lt;50,"0",IF(AG97&lt;=54.99,"4",IF(AG97&lt;=59.99,"5",IF(AG97&lt;=64.99,"6",IF(AG97&lt;=69.99,"7",IF(AG97&lt;=74.99,"8",IF(AG97&lt;=79.99,"9","10")))))))</f>
        <v>7</v>
      </c>
      <c r="AJ97" s="28">
        <v>4</v>
      </c>
      <c r="AK97" s="29">
        <f>AI97*AJ97</f>
        <v>28</v>
      </c>
      <c r="AL97" s="22">
        <f>'[8]6th Subject'!$C99</f>
        <v>27</v>
      </c>
      <c r="AM97" s="22">
        <f>'[8]6th Subject'!$D99</f>
        <v>40</v>
      </c>
      <c r="AN97" s="27">
        <f>AM97+AL97</f>
        <v>67</v>
      </c>
      <c r="AO97" s="18" t="str">
        <f>IF(AN97&lt;50,"F",IF(AN97&lt;=54.99,"P",IF(AN97&lt;=59.99,"C",IF(AN97&lt;=64.99,"B",IF(AN97&lt;=69.99,"B+",IF(AN97&lt;=74.99,"A",IF(AN97&lt;=79.99,"A+","O")))))))</f>
        <v>B+</v>
      </c>
      <c r="AP97" s="18" t="str">
        <f>IF(AN97&lt;50,"0",IF(AN97&lt;=54.99,"4",IF(AN97&lt;=59.99,"5",IF(AN97&lt;=64.99,"6",IF(AN97&lt;=69.99,"7",IF(AN97&lt;=74.99,"8",IF(AN97&lt;=79.99,"9","10")))))))</f>
        <v>7</v>
      </c>
      <c r="AQ97" s="28">
        <v>4</v>
      </c>
      <c r="AR97" s="29">
        <f>AP97*AQ97</f>
        <v>28</v>
      </c>
      <c r="AS97" s="16">
        <f>'[9]7th Subject'!$C99</f>
        <v>27</v>
      </c>
      <c r="AT97" s="16">
        <f>'[9]7th Subject'!$D99</f>
        <v>40</v>
      </c>
      <c r="AU97" s="27">
        <f>AT97+AS97</f>
        <v>67</v>
      </c>
      <c r="AV97" s="18" t="str">
        <f>IF(AU97&lt;50,"F",IF(AU97&lt;=54.99,"P",IF(AU97&lt;=59.99,"C",IF(AU97&lt;=64.99,"B",IF(AU97&lt;=69.99,"B+",IF(AU97&lt;=74.99,"A",IF(AU97&lt;=79.99,"A+","O")))))))</f>
        <v>B+</v>
      </c>
      <c r="AW97" s="18" t="str">
        <f>IF(AU97&lt;50,"0",IF(AU97&lt;=54.99,"4",IF(AU97&lt;=59.99,"5",IF(AU97&lt;=64.99,"6",IF(AU97&lt;=69.99,"7",IF(AU97&lt;=74.99,"8",IF(AU97&lt;=79.99,"9","10")))))))</f>
        <v>7</v>
      </c>
      <c r="AX97" s="28">
        <v>4</v>
      </c>
      <c r="AY97" s="29">
        <f>AW97*AX97</f>
        <v>28</v>
      </c>
      <c r="AZ97" s="22">
        <f>'[10]8th Subject'!$C99</f>
        <v>27</v>
      </c>
      <c r="BA97" s="22">
        <f>'[10]8th Subject'!$D99</f>
        <v>40</v>
      </c>
      <c r="BB97" s="27">
        <f>BA97+AZ97</f>
        <v>67</v>
      </c>
      <c r="BC97" s="18" t="str">
        <f>IF(BB97&lt;50,"F",IF(BB97&lt;=54.99,"P",IF(BB97&lt;=59.99,"C",IF(BB97&lt;=64.99,"B",IF(BB97&lt;=69.99,"B+",IF(BB97&lt;=74.99,"A",IF(BB97&lt;=79.99,"A+","O")))))))</f>
        <v>B+</v>
      </c>
      <c r="BD97" s="18" t="str">
        <f>IF(BB97&lt;50,"0",IF(BB97&lt;=54.99,"4",IF(BB97&lt;=59.99,"5",IF(BB97&lt;=64.99,"6",IF(BB97&lt;=69.99,"7",IF(BB97&lt;=74.99,"8",IF(BB97&lt;=79.99,"9","10")))))))</f>
        <v>7</v>
      </c>
      <c r="BE97" s="28">
        <v>4</v>
      </c>
      <c r="BF97" s="29">
        <f>BD97*BE97</f>
        <v>28</v>
      </c>
      <c r="BG97" s="27">
        <f>AZ97+AS97+AE97+X97+J97+C97+Q97+AL97</f>
        <v>216</v>
      </c>
      <c r="BH97" s="27">
        <f>BA97+AT97+AF97+Y97+K97+D97+R97+AM97</f>
        <v>320</v>
      </c>
      <c r="BI97" s="27">
        <f>BH97+BG97</f>
        <v>536</v>
      </c>
      <c r="BJ97" s="30">
        <f>G97+N97+U97+AB97+AI97+AP97+BD97+AW97</f>
        <v>56</v>
      </c>
      <c r="BK97" s="30">
        <f>I97+P97+W97+AD97+AK97+AY97+BF97+AR97</f>
        <v>224</v>
      </c>
      <c r="BL97" s="25">
        <f>(BN97-0.75)*10</f>
        <v>62.5</v>
      </c>
      <c r="BM97" s="17" t="str">
        <f>IF(OR(C97&lt;20,D97&lt;30,J97&lt;20,K97&lt;30,Q97&lt;20,R97&lt;30,X97&lt;20,Y97&lt;30,AE97&lt;20,AF97&lt;30,AL97&lt;20,AM97&lt;30,AS97&lt;20,AT97&lt;30,AZ97&lt;20,BA97&lt;30),"Unsuccessful","Successful")</f>
        <v>Successful</v>
      </c>
      <c r="BN97" s="31">
        <f>BK97/32</f>
        <v>7</v>
      </c>
      <c r="BO97" s="18" t="str">
        <f>IF(BN97&lt;=4,"F",IF(BN97&lt;=4.5,"P",IF(BN97&lt;=5.5,"C",IF(BN97&lt;=6.5,"B",IF(BN97&lt;=7.5,"B+",IF(BN97&lt;=8.5,"A",IF(BN97&lt;=9.5,"A+","O")))))))</f>
        <v>B+</v>
      </c>
      <c r="BP97" s="14" t="str">
        <f>IF(BN97&lt;=4,"50",IF(BN97&lt;=4.5,"50-54.99",IF(BN97&lt;=5.5,"55-59.99",IF(BN97&lt;=6.5,"60-64.99",IF(BN97&lt;=7.5,"65-69.99",IF(BN97&lt;=8.5,"70-74.99",IF(BN97&lt;=9.5,"75-79.99","10")))))))</f>
        <v>65-69.99</v>
      </c>
      <c r="BS97">
        <f>RANK(BN97,$BN$3:$BN$135)</f>
        <v>68</v>
      </c>
    </row>
    <row r="98" spans="1:71" x14ac:dyDescent="0.25">
      <c r="A98" s="14" t="str">
        <f>[2]Sheet1!$A109</f>
        <v>MMS18-20/108</v>
      </c>
      <c r="B98" s="15" t="str">
        <f>[2]Sheet1!$B109</f>
        <v xml:space="preserve">TAKKE SAIRAJ SURESH SHRUTIKA </v>
      </c>
      <c r="C98" s="16">
        <f>'[3]1st Subject'!$C110</f>
        <v>27</v>
      </c>
      <c r="D98" s="16">
        <f>'[3]1st Subject'!$D110</f>
        <v>40</v>
      </c>
      <c r="E98" s="27">
        <f>D98+C98</f>
        <v>67</v>
      </c>
      <c r="F98" s="18" t="str">
        <f>IF(E98&lt;50,"F",IF(E98&lt;=54.99,"P",IF(E98&lt;=59.99,"C",IF(E98&lt;=64.99,"B",IF(E98&lt;=69.99,"B+",IF(E98&lt;=74.99,"A",IF(E98&lt;=79.99,"A+","O")))))))</f>
        <v>B+</v>
      </c>
      <c r="G98" s="18" t="str">
        <f>IF(E98&lt;50,"0",IF(E98&lt;=54.99,"4",IF(E98&lt;=59.99,"5",IF(E98&lt;=64.99,"6",IF(E98&lt;=69.99,"7",IF(E98&lt;=74.99,"8",IF(E98&lt;=79.99,"9","10")))))))</f>
        <v>7</v>
      </c>
      <c r="H98" s="28">
        <v>4</v>
      </c>
      <c r="I98" s="29">
        <f>G98*H98</f>
        <v>28</v>
      </c>
      <c r="J98" s="16">
        <f>'[4]2nd Subject'!$C110</f>
        <v>27</v>
      </c>
      <c r="K98" s="16">
        <f>'[4]2nd Subject'!$D110</f>
        <v>40</v>
      </c>
      <c r="L98" s="27">
        <f>K98+J98</f>
        <v>67</v>
      </c>
      <c r="M98" s="18" t="str">
        <f>IF(L98&lt;50,"F",IF(L98&lt;=54.99,"P",IF(L98&lt;=59.99,"C",IF(L98&lt;=64.99,"B",IF(L98&lt;=69.99,"B+",IF(L98&lt;=74.99,"A",IF(L98&lt;=79.99,"A+","O")))))))</f>
        <v>B+</v>
      </c>
      <c r="N98" s="18" t="str">
        <f>IF(L98&lt;50,"0",IF(L98&lt;=54.99,"4",IF(L98&lt;=59.99,"5",IF(L98&lt;=64.99,"6",IF(L98&lt;=69.99,"7",IF(L98&lt;=74.99,"8",IF(L98&lt;=79.99,"9","10")))))))</f>
        <v>7</v>
      </c>
      <c r="O98" s="28">
        <v>4</v>
      </c>
      <c r="P98" s="29">
        <f>N98*O98</f>
        <v>28</v>
      </c>
      <c r="Q98" s="21">
        <f>'[5]3rd Subject'!$C110</f>
        <v>27</v>
      </c>
      <c r="R98" s="21">
        <f>'[5]3rd Subject'!$D110</f>
        <v>40</v>
      </c>
      <c r="S98" s="27">
        <f>R98+Q98</f>
        <v>67</v>
      </c>
      <c r="T98" s="18" t="str">
        <f>IF(S98&lt;50,"F",IF(S98&lt;=54.99,"P",IF(S98&lt;=59.99,"C",IF(S98&lt;=64.99,"B",IF(S98&lt;=69.99,"B+",IF(S98&lt;=74.99,"A",IF(S98&lt;=79.99,"A+","O")))))))</f>
        <v>B+</v>
      </c>
      <c r="U98" s="18" t="str">
        <f>IF(S98&lt;50,"0",IF(S98&lt;=54.99,"4",IF(S98&lt;=59.99,"5",IF(S98&lt;=64.99,"6",IF(S98&lt;=69.99,"7",IF(S98&lt;=74.99,"8",IF(S98&lt;=79.99,"9","10")))))))</f>
        <v>7</v>
      </c>
      <c r="V98" s="28">
        <v>4</v>
      </c>
      <c r="W98" s="29">
        <f>U98*V98</f>
        <v>28</v>
      </c>
      <c r="X98" s="22">
        <f>'[6]4th Subject'!$C110</f>
        <v>27</v>
      </c>
      <c r="Y98" s="23">
        <f>'[6]4th Subject'!$D110</f>
        <v>40</v>
      </c>
      <c r="Z98" s="27">
        <f>Y98+X98</f>
        <v>67</v>
      </c>
      <c r="AA98" s="18" t="str">
        <f>IF(Z98&lt;50,"F",IF(Z98&lt;=54.99,"P",IF(Z98&lt;=59.99,"C",IF(Z98&lt;=64.99,"B",IF(Z98&lt;=69.99,"B+",IF(Z98&lt;=74.99,"A",IF(Z98&lt;=79.99,"A+","O")))))))</f>
        <v>B+</v>
      </c>
      <c r="AB98" s="18" t="str">
        <f>IF(Z98&lt;50,"0",IF(Z98&lt;=54.99,"4",IF(Z98&lt;=59.99,"5",IF(Z98&lt;=64.99,"6",IF(Z98&lt;=69.99,"7",IF(Z98&lt;=74.99,"8",IF(Z98&lt;=79.99,"9","10")))))))</f>
        <v>7</v>
      </c>
      <c r="AC98" s="28">
        <v>4</v>
      </c>
      <c r="AD98" s="29">
        <f>AB98*AC98</f>
        <v>28</v>
      </c>
      <c r="AE98" s="22">
        <f>'[7]5th Subject'!$C110</f>
        <v>27</v>
      </c>
      <c r="AF98" s="23">
        <f>'[7]5th Subject'!$D110</f>
        <v>40</v>
      </c>
      <c r="AG98" s="27">
        <f>AF98+AE98</f>
        <v>67</v>
      </c>
      <c r="AH98" s="18" t="str">
        <f>IF(AG98&lt;50,"F",IF(AG98&lt;=54.99,"P",IF(AG98&lt;=59.99,"C",IF(AG98&lt;=64.99,"B",IF(AG98&lt;=69.99,"B+",IF(AG98&lt;=74.99,"A",IF(AG98&lt;=79.99,"A+","O")))))))</f>
        <v>B+</v>
      </c>
      <c r="AI98" s="18" t="str">
        <f>IF(AG98&lt;50,"0",IF(AG98&lt;=54.99,"4",IF(AG98&lt;=59.99,"5",IF(AG98&lt;=64.99,"6",IF(AG98&lt;=69.99,"7",IF(AG98&lt;=74.99,"8",IF(AG98&lt;=79.99,"9","10")))))))</f>
        <v>7</v>
      </c>
      <c r="AJ98" s="28">
        <v>4</v>
      </c>
      <c r="AK98" s="29">
        <f>AI98*AJ98</f>
        <v>28</v>
      </c>
      <c r="AL98" s="22">
        <f>'[8]6th Subject'!$C110</f>
        <v>27</v>
      </c>
      <c r="AM98" s="22">
        <f>'[8]6th Subject'!$D110</f>
        <v>40</v>
      </c>
      <c r="AN98" s="27">
        <f>AM98+AL98</f>
        <v>67</v>
      </c>
      <c r="AO98" s="18" t="str">
        <f>IF(AN98&lt;50,"F",IF(AN98&lt;=54.99,"P",IF(AN98&lt;=59.99,"C",IF(AN98&lt;=64.99,"B",IF(AN98&lt;=69.99,"B+",IF(AN98&lt;=74.99,"A",IF(AN98&lt;=79.99,"A+","O")))))))</f>
        <v>B+</v>
      </c>
      <c r="AP98" s="18" t="str">
        <f>IF(AN98&lt;50,"0",IF(AN98&lt;=54.99,"4",IF(AN98&lt;=59.99,"5",IF(AN98&lt;=64.99,"6",IF(AN98&lt;=69.99,"7",IF(AN98&lt;=74.99,"8",IF(AN98&lt;=79.99,"9","10")))))))</f>
        <v>7</v>
      </c>
      <c r="AQ98" s="28">
        <v>4</v>
      </c>
      <c r="AR98" s="29">
        <f>AP98*AQ98</f>
        <v>28</v>
      </c>
      <c r="AS98" s="16">
        <f>'[9]7th Subject'!$C110</f>
        <v>27</v>
      </c>
      <c r="AT98" s="16">
        <f>'[9]7th Subject'!$D110</f>
        <v>40</v>
      </c>
      <c r="AU98" s="27">
        <f>AT98+AS98</f>
        <v>67</v>
      </c>
      <c r="AV98" s="18" t="str">
        <f>IF(AU98&lt;50,"F",IF(AU98&lt;=54.99,"P",IF(AU98&lt;=59.99,"C",IF(AU98&lt;=64.99,"B",IF(AU98&lt;=69.99,"B+",IF(AU98&lt;=74.99,"A",IF(AU98&lt;=79.99,"A+","O")))))))</f>
        <v>B+</v>
      </c>
      <c r="AW98" s="18" t="str">
        <f>IF(AU98&lt;50,"0",IF(AU98&lt;=54.99,"4",IF(AU98&lt;=59.99,"5",IF(AU98&lt;=64.99,"6",IF(AU98&lt;=69.99,"7",IF(AU98&lt;=74.99,"8",IF(AU98&lt;=79.99,"9","10")))))))</f>
        <v>7</v>
      </c>
      <c r="AX98" s="28">
        <v>4</v>
      </c>
      <c r="AY98" s="29">
        <f>AW98*AX98</f>
        <v>28</v>
      </c>
      <c r="AZ98" s="22">
        <f>'[10]8th Subject'!$C110</f>
        <v>27</v>
      </c>
      <c r="BA98" s="22">
        <f>'[10]8th Subject'!$D110</f>
        <v>40</v>
      </c>
      <c r="BB98" s="27">
        <f>BA98+AZ98</f>
        <v>67</v>
      </c>
      <c r="BC98" s="18" t="str">
        <f>IF(BB98&lt;50,"F",IF(BB98&lt;=54.99,"P",IF(BB98&lt;=59.99,"C",IF(BB98&lt;=64.99,"B",IF(BB98&lt;=69.99,"B+",IF(BB98&lt;=74.99,"A",IF(BB98&lt;=79.99,"A+","O")))))))</f>
        <v>B+</v>
      </c>
      <c r="BD98" s="18" t="str">
        <f>IF(BB98&lt;50,"0",IF(BB98&lt;=54.99,"4",IF(BB98&lt;=59.99,"5",IF(BB98&lt;=64.99,"6",IF(BB98&lt;=69.99,"7",IF(BB98&lt;=74.99,"8",IF(BB98&lt;=79.99,"9","10")))))))</f>
        <v>7</v>
      </c>
      <c r="BE98" s="28">
        <v>4</v>
      </c>
      <c r="BF98" s="29">
        <f>BD98*BE98</f>
        <v>28</v>
      </c>
      <c r="BG98" s="27">
        <f>AZ98+AS98+AE98+X98+J98+C98+Q98+AL98</f>
        <v>216</v>
      </c>
      <c r="BH98" s="27">
        <f>BA98+AT98+AF98+Y98+K98+D98+R98+AM98</f>
        <v>320</v>
      </c>
      <c r="BI98" s="27">
        <f>BH98+BG98</f>
        <v>536</v>
      </c>
      <c r="BJ98" s="30">
        <f>G98+N98+U98+AB98+AI98+AP98+BD98+AW98</f>
        <v>56</v>
      </c>
      <c r="BK98" s="30">
        <f>I98+P98+W98+AD98+AK98+AY98+BF98+AR98</f>
        <v>224</v>
      </c>
      <c r="BL98" s="25">
        <f>(BN98-0.75)*10</f>
        <v>62.5</v>
      </c>
      <c r="BM98" s="17" t="str">
        <f>IF(OR(C98&lt;20,D98&lt;30,J98&lt;20,K98&lt;30,Q98&lt;20,R98&lt;30,X98&lt;20,Y98&lt;30,AE98&lt;20,AF98&lt;30,AL98&lt;20,AM98&lt;30,AS98&lt;20,AT98&lt;30,AZ98&lt;20,BA98&lt;30),"Unsuccessful","Successful")</f>
        <v>Successful</v>
      </c>
      <c r="BN98" s="31">
        <f>BK98/32</f>
        <v>7</v>
      </c>
      <c r="BO98" s="18" t="str">
        <f>IF(BN98&lt;=4,"F",IF(BN98&lt;=4.5,"P",IF(BN98&lt;=5.5,"C",IF(BN98&lt;=6.5,"B",IF(BN98&lt;=7.5,"B+",IF(BN98&lt;=8.5,"A",IF(BN98&lt;=9.5,"A+","O")))))))</f>
        <v>B+</v>
      </c>
      <c r="BP98" s="14" t="str">
        <f>IF(BN98&lt;=4,"50",IF(BN98&lt;=4.5,"50-54.99",IF(BN98&lt;=5.5,"55-59.99",IF(BN98&lt;=6.5,"60-64.99",IF(BN98&lt;=7.5,"65-69.99",IF(BN98&lt;=8.5,"70-74.99",IF(BN98&lt;=9.5,"75-79.99","10")))))))</f>
        <v>65-69.99</v>
      </c>
      <c r="BS98">
        <f>RANK(BN98,$BN$3:$BN$135)</f>
        <v>68</v>
      </c>
    </row>
    <row r="99" spans="1:71" x14ac:dyDescent="0.25">
      <c r="A99" s="14" t="str">
        <f>[2]Sheet1!$A12</f>
        <v>MMS18-20/011</v>
      </c>
      <c r="B99" s="15" t="str">
        <f>[2]Sheet1!$B12</f>
        <v>/BHATKAR ANAGHA ANIL AKSHATA</v>
      </c>
      <c r="C99" s="16">
        <f>'[3]1st Subject'!$C13</f>
        <v>28</v>
      </c>
      <c r="D99" s="16">
        <f>'[3]1st Subject'!$D13</f>
        <v>37</v>
      </c>
      <c r="E99" s="27">
        <f>D99+C99</f>
        <v>65</v>
      </c>
      <c r="F99" s="18" t="str">
        <f>IF(E99&lt;50,"F",IF(E99&lt;=54.99,"P",IF(E99&lt;=59.99,"C",IF(E99&lt;=64.99,"B",IF(E99&lt;=69.99,"B+",IF(E99&lt;=74.99,"A",IF(E99&lt;=79.99,"A+","O")))))))</f>
        <v>B+</v>
      </c>
      <c r="G99" s="18" t="str">
        <f>IF(E99&lt;50,"0",IF(E99&lt;=54.99,"4",IF(E99&lt;=59.99,"5",IF(E99&lt;=64.99,"6",IF(E99&lt;=69.99,"7",IF(E99&lt;=74.99,"8",IF(E99&lt;=79.99,"9","10")))))))</f>
        <v>7</v>
      </c>
      <c r="H99" s="28">
        <v>4</v>
      </c>
      <c r="I99" s="29">
        <f>G99*H99</f>
        <v>28</v>
      </c>
      <c r="J99" s="16">
        <f>'[4]2nd Subject'!$C13</f>
        <v>28</v>
      </c>
      <c r="K99" s="16">
        <f>'[4]2nd Subject'!$D13</f>
        <v>37</v>
      </c>
      <c r="L99" s="27">
        <f>K99+J99</f>
        <v>65</v>
      </c>
      <c r="M99" s="18" t="str">
        <f>IF(L99&lt;50,"F",IF(L99&lt;=54.99,"P",IF(L99&lt;=59.99,"C",IF(L99&lt;=64.99,"B",IF(L99&lt;=69.99,"B+",IF(L99&lt;=74.99,"A",IF(L99&lt;=79.99,"A+","O")))))))</f>
        <v>B+</v>
      </c>
      <c r="N99" s="18" t="str">
        <f>IF(L99&lt;50,"0",IF(L99&lt;=54.99,"4",IF(L99&lt;=59.99,"5",IF(L99&lt;=64.99,"6",IF(L99&lt;=69.99,"7",IF(L99&lt;=74.99,"8",IF(L99&lt;=79.99,"9","10")))))))</f>
        <v>7</v>
      </c>
      <c r="O99" s="28">
        <v>4</v>
      </c>
      <c r="P99" s="29">
        <f>N99*O99</f>
        <v>28</v>
      </c>
      <c r="Q99" s="21">
        <f>'[5]3rd Subject'!$C13</f>
        <v>28</v>
      </c>
      <c r="R99" s="21">
        <f>'[5]3rd Subject'!$D13</f>
        <v>37</v>
      </c>
      <c r="S99" s="27">
        <f>R99+Q99</f>
        <v>65</v>
      </c>
      <c r="T99" s="18" t="str">
        <f>IF(S99&lt;50,"F",IF(S99&lt;=54.99,"P",IF(S99&lt;=59.99,"C",IF(S99&lt;=64.99,"B",IF(S99&lt;=69.99,"B+",IF(S99&lt;=74.99,"A",IF(S99&lt;=79.99,"A+","O")))))))</f>
        <v>B+</v>
      </c>
      <c r="U99" s="18" t="str">
        <f>IF(S99&lt;50,"0",IF(S99&lt;=54.99,"4",IF(S99&lt;=59.99,"5",IF(S99&lt;=64.99,"6",IF(S99&lt;=69.99,"7",IF(S99&lt;=74.99,"8",IF(S99&lt;=79.99,"9","10")))))))</f>
        <v>7</v>
      </c>
      <c r="V99" s="28">
        <v>4</v>
      </c>
      <c r="W99" s="29">
        <f>U99*V99</f>
        <v>28</v>
      </c>
      <c r="X99" s="22">
        <f>'[6]4th Subject'!$C13</f>
        <v>28</v>
      </c>
      <c r="Y99" s="23">
        <f>'[6]4th Subject'!$D13</f>
        <v>37</v>
      </c>
      <c r="Z99" s="27">
        <f>Y99+X99</f>
        <v>65</v>
      </c>
      <c r="AA99" s="18" t="str">
        <f>IF(Z99&lt;50,"F",IF(Z99&lt;=54.99,"P",IF(Z99&lt;=59.99,"C",IF(Z99&lt;=64.99,"B",IF(Z99&lt;=69.99,"B+",IF(Z99&lt;=74.99,"A",IF(Z99&lt;=79.99,"A+","O")))))))</f>
        <v>B+</v>
      </c>
      <c r="AB99" s="18" t="str">
        <f>IF(Z99&lt;50,"0",IF(Z99&lt;=54.99,"4",IF(Z99&lt;=59.99,"5",IF(Z99&lt;=64.99,"6",IF(Z99&lt;=69.99,"7",IF(Z99&lt;=74.99,"8",IF(Z99&lt;=79.99,"9","10")))))))</f>
        <v>7</v>
      </c>
      <c r="AC99" s="28">
        <v>4</v>
      </c>
      <c r="AD99" s="29">
        <f>AB99*AC99</f>
        <v>28</v>
      </c>
      <c r="AE99" s="22">
        <f>'[7]5th Subject'!$C13</f>
        <v>28</v>
      </c>
      <c r="AF99" s="23">
        <f>'[7]5th Subject'!$D13</f>
        <v>37</v>
      </c>
      <c r="AG99" s="27">
        <f>AF99+AE99</f>
        <v>65</v>
      </c>
      <c r="AH99" s="18" t="str">
        <f>IF(AG99&lt;50,"F",IF(AG99&lt;=54.99,"P",IF(AG99&lt;=59.99,"C",IF(AG99&lt;=64.99,"B",IF(AG99&lt;=69.99,"B+",IF(AG99&lt;=74.99,"A",IF(AG99&lt;=79.99,"A+","O")))))))</f>
        <v>B+</v>
      </c>
      <c r="AI99" s="18" t="str">
        <f>IF(AG99&lt;50,"0",IF(AG99&lt;=54.99,"4",IF(AG99&lt;=59.99,"5",IF(AG99&lt;=64.99,"6",IF(AG99&lt;=69.99,"7",IF(AG99&lt;=74.99,"8",IF(AG99&lt;=79.99,"9","10")))))))</f>
        <v>7</v>
      </c>
      <c r="AJ99" s="28">
        <v>4</v>
      </c>
      <c r="AK99" s="29">
        <f>AI99*AJ99</f>
        <v>28</v>
      </c>
      <c r="AL99" s="22">
        <f>'[8]6th Subject'!$C13</f>
        <v>28</v>
      </c>
      <c r="AM99" s="22">
        <f>'[8]6th Subject'!$D13</f>
        <v>37</v>
      </c>
      <c r="AN99" s="27">
        <f>AM99+AL99</f>
        <v>65</v>
      </c>
      <c r="AO99" s="18" t="str">
        <f>IF(AN99&lt;50,"F",IF(AN99&lt;=54.99,"P",IF(AN99&lt;=59.99,"C",IF(AN99&lt;=64.99,"B",IF(AN99&lt;=69.99,"B+",IF(AN99&lt;=74.99,"A",IF(AN99&lt;=79.99,"A+","O")))))))</f>
        <v>B+</v>
      </c>
      <c r="AP99" s="18" t="str">
        <f>IF(AN99&lt;50,"0",IF(AN99&lt;=54.99,"4",IF(AN99&lt;=59.99,"5",IF(AN99&lt;=64.99,"6",IF(AN99&lt;=69.99,"7",IF(AN99&lt;=74.99,"8",IF(AN99&lt;=79.99,"9","10")))))))</f>
        <v>7</v>
      </c>
      <c r="AQ99" s="28">
        <v>4</v>
      </c>
      <c r="AR99" s="29">
        <f>AP99*AQ99</f>
        <v>28</v>
      </c>
      <c r="AS99" s="16">
        <f>'[9]7th Subject'!$C13</f>
        <v>28</v>
      </c>
      <c r="AT99" s="16">
        <f>'[9]7th Subject'!$D13</f>
        <v>37</v>
      </c>
      <c r="AU99" s="27">
        <f>AT99+AS99</f>
        <v>65</v>
      </c>
      <c r="AV99" s="18" t="str">
        <f>IF(AU99&lt;50,"F",IF(AU99&lt;=54.99,"P",IF(AU99&lt;=59.99,"C",IF(AU99&lt;=64.99,"B",IF(AU99&lt;=69.99,"B+",IF(AU99&lt;=74.99,"A",IF(AU99&lt;=79.99,"A+","O")))))))</f>
        <v>B+</v>
      </c>
      <c r="AW99" s="18" t="str">
        <f>IF(AU99&lt;50,"0",IF(AU99&lt;=54.99,"4",IF(AU99&lt;=59.99,"5",IF(AU99&lt;=64.99,"6",IF(AU99&lt;=69.99,"7",IF(AU99&lt;=74.99,"8",IF(AU99&lt;=79.99,"9","10")))))))</f>
        <v>7</v>
      </c>
      <c r="AX99" s="28">
        <v>4</v>
      </c>
      <c r="AY99" s="29">
        <f>AW99*AX99</f>
        <v>28</v>
      </c>
      <c r="AZ99" s="22">
        <f>'[10]8th Subject'!$C13</f>
        <v>28</v>
      </c>
      <c r="BA99" s="22">
        <f>'[10]8th Subject'!$D13</f>
        <v>37</v>
      </c>
      <c r="BB99" s="27">
        <f>BA99+AZ99</f>
        <v>65</v>
      </c>
      <c r="BC99" s="18" t="str">
        <f>IF(BB99&lt;50,"F",IF(BB99&lt;=54.99,"P",IF(BB99&lt;=59.99,"C",IF(BB99&lt;=64.99,"B",IF(BB99&lt;=69.99,"B+",IF(BB99&lt;=74.99,"A",IF(BB99&lt;=79.99,"A+","O")))))))</f>
        <v>B+</v>
      </c>
      <c r="BD99" s="18" t="str">
        <f>IF(BB99&lt;50,"0",IF(BB99&lt;=54.99,"4",IF(BB99&lt;=59.99,"5",IF(BB99&lt;=64.99,"6",IF(BB99&lt;=69.99,"7",IF(BB99&lt;=74.99,"8",IF(BB99&lt;=79.99,"9","10")))))))</f>
        <v>7</v>
      </c>
      <c r="BE99" s="28">
        <v>4</v>
      </c>
      <c r="BF99" s="29">
        <f>BD99*BE99</f>
        <v>28</v>
      </c>
      <c r="BG99" s="27">
        <f>AZ99+AS99+AE99+X99+J99+C99+Q99+AL99</f>
        <v>224</v>
      </c>
      <c r="BH99" s="27">
        <f>BA99+AT99+AF99+Y99+K99+D99+R99+AM99</f>
        <v>296</v>
      </c>
      <c r="BI99" s="27">
        <f>BH99+BG99</f>
        <v>520</v>
      </c>
      <c r="BJ99" s="30">
        <f>G99+N99+U99+AB99+AI99+AP99+BD99+AW99</f>
        <v>56</v>
      </c>
      <c r="BK99" s="30">
        <f>I99+P99+W99+AD99+AK99+AY99+BF99+AR99</f>
        <v>224</v>
      </c>
      <c r="BL99" s="25">
        <f>(BN99-0.75)*10</f>
        <v>62.5</v>
      </c>
      <c r="BM99" s="17" t="str">
        <f>IF(OR(C99&lt;20,D99&lt;30,J99&lt;20,K99&lt;30,Q99&lt;20,R99&lt;30,X99&lt;20,Y99&lt;30,AE99&lt;20,AF99&lt;30,AL99&lt;20,AM99&lt;30,AS99&lt;20,AT99&lt;30,AZ99&lt;20,BA99&lt;30),"Unsuccessful","Successful")</f>
        <v>Successful</v>
      </c>
      <c r="BN99" s="31">
        <f>BK99/32</f>
        <v>7</v>
      </c>
      <c r="BO99" s="18" t="str">
        <f>IF(BN99&lt;=4,"F",IF(BN99&lt;=4.5,"P",IF(BN99&lt;=5.5,"C",IF(BN99&lt;=6.5,"B",IF(BN99&lt;=7.5,"B+",IF(BN99&lt;=8.5,"A",IF(BN99&lt;=9.5,"A+","O")))))))</f>
        <v>B+</v>
      </c>
      <c r="BP99" s="14" t="str">
        <f>IF(BN99&lt;=4,"50",IF(BN99&lt;=4.5,"50-54.99",IF(BN99&lt;=5.5,"55-59.99",IF(BN99&lt;=6.5,"60-64.99",IF(BN99&lt;=7.5,"65-69.99",IF(BN99&lt;=8.5,"70-74.99",IF(BN99&lt;=9.5,"75-79.99","10")))))))</f>
        <v>65-69.99</v>
      </c>
      <c r="BS99">
        <f>RANK(BN99,$BN$3:$BN$135)</f>
        <v>68</v>
      </c>
    </row>
    <row r="100" spans="1:71" x14ac:dyDescent="0.25">
      <c r="A100" s="14" t="str">
        <f>[2]Sheet1!$A34</f>
        <v>MMS18-20/033</v>
      </c>
      <c r="B100" s="15" t="str">
        <f>[2]Sheet1!$B34</f>
        <v>HANDE RAHUL RANGARAO NALINI</v>
      </c>
      <c r="C100" s="16">
        <f>'[3]1st Subject'!$C35</f>
        <v>28</v>
      </c>
      <c r="D100" s="16">
        <f>'[3]1st Subject'!$D35</f>
        <v>37</v>
      </c>
      <c r="E100" s="27">
        <f>D100+C100</f>
        <v>65</v>
      </c>
      <c r="F100" s="18" t="str">
        <f>IF(E100&lt;50,"F",IF(E100&lt;=54.99,"P",IF(E100&lt;=59.99,"C",IF(E100&lt;=64.99,"B",IF(E100&lt;=69.99,"B+",IF(E100&lt;=74.99,"A",IF(E100&lt;=79.99,"A+","O")))))))</f>
        <v>B+</v>
      </c>
      <c r="G100" s="18" t="str">
        <f>IF(E100&lt;50,"0",IF(E100&lt;=54.99,"4",IF(E100&lt;=59.99,"5",IF(E100&lt;=64.99,"6",IF(E100&lt;=69.99,"7",IF(E100&lt;=74.99,"8",IF(E100&lt;=79.99,"9","10")))))))</f>
        <v>7</v>
      </c>
      <c r="H100" s="28">
        <v>4</v>
      </c>
      <c r="I100" s="29">
        <f>G100*H100</f>
        <v>28</v>
      </c>
      <c r="J100" s="16">
        <f>'[4]2nd Subject'!$C35</f>
        <v>28</v>
      </c>
      <c r="K100" s="16">
        <f>'[4]2nd Subject'!$D35</f>
        <v>37</v>
      </c>
      <c r="L100" s="27">
        <f>K100+J100</f>
        <v>65</v>
      </c>
      <c r="M100" s="18" t="str">
        <f>IF(L100&lt;50,"F",IF(L100&lt;=54.99,"P",IF(L100&lt;=59.99,"C",IF(L100&lt;=64.99,"B",IF(L100&lt;=69.99,"B+",IF(L100&lt;=74.99,"A",IF(L100&lt;=79.99,"A+","O")))))))</f>
        <v>B+</v>
      </c>
      <c r="N100" s="18" t="str">
        <f>IF(L100&lt;50,"0",IF(L100&lt;=54.99,"4",IF(L100&lt;=59.99,"5",IF(L100&lt;=64.99,"6",IF(L100&lt;=69.99,"7",IF(L100&lt;=74.99,"8",IF(L100&lt;=79.99,"9","10")))))))</f>
        <v>7</v>
      </c>
      <c r="O100" s="28">
        <v>4</v>
      </c>
      <c r="P100" s="29">
        <f>N100*O100</f>
        <v>28</v>
      </c>
      <c r="Q100" s="21">
        <f>'[5]3rd Subject'!$C35</f>
        <v>28</v>
      </c>
      <c r="R100" s="21">
        <f>'[5]3rd Subject'!$D35</f>
        <v>37</v>
      </c>
      <c r="S100" s="27">
        <f>R100+Q100</f>
        <v>65</v>
      </c>
      <c r="T100" s="18" t="str">
        <f>IF(S100&lt;50,"F",IF(S100&lt;=54.99,"P",IF(S100&lt;=59.99,"C",IF(S100&lt;=64.99,"B",IF(S100&lt;=69.99,"B+",IF(S100&lt;=74.99,"A",IF(S100&lt;=79.99,"A+","O")))))))</f>
        <v>B+</v>
      </c>
      <c r="U100" s="18" t="str">
        <f>IF(S100&lt;50,"0",IF(S100&lt;=54.99,"4",IF(S100&lt;=59.99,"5",IF(S100&lt;=64.99,"6",IF(S100&lt;=69.99,"7",IF(S100&lt;=74.99,"8",IF(S100&lt;=79.99,"9","10")))))))</f>
        <v>7</v>
      </c>
      <c r="V100" s="28">
        <v>4</v>
      </c>
      <c r="W100" s="29">
        <f>U100*V100</f>
        <v>28</v>
      </c>
      <c r="X100" s="22">
        <f>'[6]4th Subject'!$C35</f>
        <v>28</v>
      </c>
      <c r="Y100" s="23">
        <f>'[6]4th Subject'!$D35</f>
        <v>37</v>
      </c>
      <c r="Z100" s="27">
        <f>Y100+X100</f>
        <v>65</v>
      </c>
      <c r="AA100" s="18" t="str">
        <f>IF(Z100&lt;50,"F",IF(Z100&lt;=54.99,"P",IF(Z100&lt;=59.99,"C",IF(Z100&lt;=64.99,"B",IF(Z100&lt;=69.99,"B+",IF(Z100&lt;=74.99,"A",IF(Z100&lt;=79.99,"A+","O")))))))</f>
        <v>B+</v>
      </c>
      <c r="AB100" s="18" t="str">
        <f>IF(Z100&lt;50,"0",IF(Z100&lt;=54.99,"4",IF(Z100&lt;=59.99,"5",IF(Z100&lt;=64.99,"6",IF(Z100&lt;=69.99,"7",IF(Z100&lt;=74.99,"8",IF(Z100&lt;=79.99,"9","10")))))))</f>
        <v>7</v>
      </c>
      <c r="AC100" s="28">
        <v>4</v>
      </c>
      <c r="AD100" s="29">
        <f>AB100*AC100</f>
        <v>28</v>
      </c>
      <c r="AE100" s="22">
        <f>'[7]5th Subject'!$C35</f>
        <v>28</v>
      </c>
      <c r="AF100" s="23">
        <f>'[7]5th Subject'!$D35</f>
        <v>37</v>
      </c>
      <c r="AG100" s="27">
        <f>AF100+AE100</f>
        <v>65</v>
      </c>
      <c r="AH100" s="18" t="str">
        <f>IF(AG100&lt;50,"F",IF(AG100&lt;=54.99,"P",IF(AG100&lt;=59.99,"C",IF(AG100&lt;=64.99,"B",IF(AG100&lt;=69.99,"B+",IF(AG100&lt;=74.99,"A",IF(AG100&lt;=79.99,"A+","O")))))))</f>
        <v>B+</v>
      </c>
      <c r="AI100" s="18" t="str">
        <f>IF(AG100&lt;50,"0",IF(AG100&lt;=54.99,"4",IF(AG100&lt;=59.99,"5",IF(AG100&lt;=64.99,"6",IF(AG100&lt;=69.99,"7",IF(AG100&lt;=74.99,"8",IF(AG100&lt;=79.99,"9","10")))))))</f>
        <v>7</v>
      </c>
      <c r="AJ100" s="28">
        <v>4</v>
      </c>
      <c r="AK100" s="29">
        <f>AI100*AJ100</f>
        <v>28</v>
      </c>
      <c r="AL100" s="22">
        <f>'[8]6th Subject'!$C35</f>
        <v>28</v>
      </c>
      <c r="AM100" s="22">
        <f>'[8]6th Subject'!$D35</f>
        <v>37</v>
      </c>
      <c r="AN100" s="27">
        <f>AM100+AL100</f>
        <v>65</v>
      </c>
      <c r="AO100" s="18" t="str">
        <f>IF(AN100&lt;50,"F",IF(AN100&lt;=54.99,"P",IF(AN100&lt;=59.99,"C",IF(AN100&lt;=64.99,"B",IF(AN100&lt;=69.99,"B+",IF(AN100&lt;=74.99,"A",IF(AN100&lt;=79.99,"A+","O")))))))</f>
        <v>B+</v>
      </c>
      <c r="AP100" s="18" t="str">
        <f>IF(AN100&lt;50,"0",IF(AN100&lt;=54.99,"4",IF(AN100&lt;=59.99,"5",IF(AN100&lt;=64.99,"6",IF(AN100&lt;=69.99,"7",IF(AN100&lt;=74.99,"8",IF(AN100&lt;=79.99,"9","10")))))))</f>
        <v>7</v>
      </c>
      <c r="AQ100" s="28">
        <v>4</v>
      </c>
      <c r="AR100" s="29">
        <f>AP100*AQ100</f>
        <v>28</v>
      </c>
      <c r="AS100" s="16">
        <f>'[9]7th Subject'!$C35</f>
        <v>28</v>
      </c>
      <c r="AT100" s="16">
        <f>'[9]7th Subject'!$D35</f>
        <v>37</v>
      </c>
      <c r="AU100" s="27">
        <f>AT100+AS100</f>
        <v>65</v>
      </c>
      <c r="AV100" s="18" t="str">
        <f>IF(AU100&lt;50,"F",IF(AU100&lt;=54.99,"P",IF(AU100&lt;=59.99,"C",IF(AU100&lt;=64.99,"B",IF(AU100&lt;=69.99,"B+",IF(AU100&lt;=74.99,"A",IF(AU100&lt;=79.99,"A+","O")))))))</f>
        <v>B+</v>
      </c>
      <c r="AW100" s="18" t="str">
        <f>IF(AU100&lt;50,"0",IF(AU100&lt;=54.99,"4",IF(AU100&lt;=59.99,"5",IF(AU100&lt;=64.99,"6",IF(AU100&lt;=69.99,"7",IF(AU100&lt;=74.99,"8",IF(AU100&lt;=79.99,"9","10")))))))</f>
        <v>7</v>
      </c>
      <c r="AX100" s="28">
        <v>4</v>
      </c>
      <c r="AY100" s="29">
        <f>AW100*AX100</f>
        <v>28</v>
      </c>
      <c r="AZ100" s="22">
        <f>'[10]8th Subject'!$C35</f>
        <v>28</v>
      </c>
      <c r="BA100" s="22">
        <f>'[10]8th Subject'!$D35</f>
        <v>37</v>
      </c>
      <c r="BB100" s="27">
        <f>BA100+AZ100</f>
        <v>65</v>
      </c>
      <c r="BC100" s="18" t="str">
        <f>IF(BB100&lt;50,"F",IF(BB100&lt;=54.99,"P",IF(BB100&lt;=59.99,"C",IF(BB100&lt;=64.99,"B",IF(BB100&lt;=69.99,"B+",IF(BB100&lt;=74.99,"A",IF(BB100&lt;=79.99,"A+","O")))))))</f>
        <v>B+</v>
      </c>
      <c r="BD100" s="18" t="str">
        <f>IF(BB100&lt;50,"0",IF(BB100&lt;=54.99,"4",IF(BB100&lt;=59.99,"5",IF(BB100&lt;=64.99,"6",IF(BB100&lt;=69.99,"7",IF(BB100&lt;=74.99,"8",IF(BB100&lt;=79.99,"9","10")))))))</f>
        <v>7</v>
      </c>
      <c r="BE100" s="28">
        <v>4</v>
      </c>
      <c r="BF100" s="29">
        <f>BD100*BE100</f>
        <v>28</v>
      </c>
      <c r="BG100" s="27">
        <f>AZ100+AS100+AE100+X100+J100+C100+Q100+AL100</f>
        <v>224</v>
      </c>
      <c r="BH100" s="27">
        <f>BA100+AT100+AF100+Y100+K100+D100+R100+AM100</f>
        <v>296</v>
      </c>
      <c r="BI100" s="27">
        <f>BH100+BG100</f>
        <v>520</v>
      </c>
      <c r="BJ100" s="30">
        <f>G100+N100+U100+AB100+AI100+AP100+BD100+AW100</f>
        <v>56</v>
      </c>
      <c r="BK100" s="30">
        <f>I100+P100+W100+AD100+AK100+AY100+BF100+AR100</f>
        <v>224</v>
      </c>
      <c r="BL100" s="25">
        <f>(BN100-0.75)*10</f>
        <v>62.5</v>
      </c>
      <c r="BM100" s="17" t="str">
        <f>IF(OR(C100&lt;20,D100&lt;30,J100&lt;20,K100&lt;30,Q100&lt;20,R100&lt;30,X100&lt;20,Y100&lt;30,AE100&lt;20,AF100&lt;30,AL100&lt;20,AM100&lt;30,AS100&lt;20,AT100&lt;30,AZ100&lt;20,BA100&lt;30),"Unsuccessful","Successful")</f>
        <v>Successful</v>
      </c>
      <c r="BN100" s="31">
        <f>BK100/32</f>
        <v>7</v>
      </c>
      <c r="BO100" s="18" t="str">
        <f>IF(BN100&lt;=4,"F",IF(BN100&lt;=4.5,"P",IF(BN100&lt;=5.5,"C",IF(BN100&lt;=6.5,"B",IF(BN100&lt;=7.5,"B+",IF(BN100&lt;=8.5,"A",IF(BN100&lt;=9.5,"A+","O")))))))</f>
        <v>B+</v>
      </c>
      <c r="BP100" s="14" t="str">
        <f>IF(BN100&lt;=4,"50",IF(BN100&lt;=4.5,"50-54.99",IF(BN100&lt;=5.5,"55-59.99",IF(BN100&lt;=6.5,"60-64.99",IF(BN100&lt;=7.5,"65-69.99",IF(BN100&lt;=8.5,"70-74.99",IF(BN100&lt;=9.5,"75-79.99","10")))))))</f>
        <v>65-69.99</v>
      </c>
      <c r="BS100">
        <f>RANK(BN100,$BN$3:$BN$135)</f>
        <v>68</v>
      </c>
    </row>
    <row r="101" spans="1:71" x14ac:dyDescent="0.25">
      <c r="A101" s="14" t="str">
        <f>[2]Sheet1!$A45</f>
        <v>MMS18-20/044</v>
      </c>
      <c r="B101" s="15" t="str">
        <f>[2]Sheet1!$B45</f>
        <v>/KOLGE VARDA DEEPAK AARTI</v>
      </c>
      <c r="C101" s="16">
        <f>'[3]1st Subject'!$C46</f>
        <v>28</v>
      </c>
      <c r="D101" s="16">
        <f>'[3]1st Subject'!$D46</f>
        <v>37</v>
      </c>
      <c r="E101" s="27">
        <f>D101+C101</f>
        <v>65</v>
      </c>
      <c r="F101" s="18" t="str">
        <f>IF(E101&lt;50,"F",IF(E101&lt;=54.99,"P",IF(E101&lt;=59.99,"C",IF(E101&lt;=64.99,"B",IF(E101&lt;=69.99,"B+",IF(E101&lt;=74.99,"A",IF(E101&lt;=79.99,"A+","O")))))))</f>
        <v>B+</v>
      </c>
      <c r="G101" s="18" t="str">
        <f>IF(E101&lt;50,"0",IF(E101&lt;=54.99,"4",IF(E101&lt;=59.99,"5",IF(E101&lt;=64.99,"6",IF(E101&lt;=69.99,"7",IF(E101&lt;=74.99,"8",IF(E101&lt;=79.99,"9","10")))))))</f>
        <v>7</v>
      </c>
      <c r="H101" s="28">
        <v>4</v>
      </c>
      <c r="I101" s="29">
        <f>G101*H101</f>
        <v>28</v>
      </c>
      <c r="J101" s="16">
        <f>'[4]2nd Subject'!$C46</f>
        <v>28</v>
      </c>
      <c r="K101" s="16">
        <f>'[4]2nd Subject'!$D46</f>
        <v>37</v>
      </c>
      <c r="L101" s="27">
        <f>K101+J101</f>
        <v>65</v>
      </c>
      <c r="M101" s="18" t="str">
        <f>IF(L101&lt;50,"F",IF(L101&lt;=54.99,"P",IF(L101&lt;=59.99,"C",IF(L101&lt;=64.99,"B",IF(L101&lt;=69.99,"B+",IF(L101&lt;=74.99,"A",IF(L101&lt;=79.99,"A+","O")))))))</f>
        <v>B+</v>
      </c>
      <c r="N101" s="18" t="str">
        <f>IF(L101&lt;50,"0",IF(L101&lt;=54.99,"4",IF(L101&lt;=59.99,"5",IF(L101&lt;=64.99,"6",IF(L101&lt;=69.99,"7",IF(L101&lt;=74.99,"8",IF(L101&lt;=79.99,"9","10")))))))</f>
        <v>7</v>
      </c>
      <c r="O101" s="28">
        <v>4</v>
      </c>
      <c r="P101" s="29">
        <f>N101*O101</f>
        <v>28</v>
      </c>
      <c r="Q101" s="21">
        <f>'[5]3rd Subject'!$C46</f>
        <v>28</v>
      </c>
      <c r="R101" s="21">
        <f>'[5]3rd Subject'!$D46</f>
        <v>37</v>
      </c>
      <c r="S101" s="27">
        <f>R101+Q101</f>
        <v>65</v>
      </c>
      <c r="T101" s="18" t="str">
        <f>IF(S101&lt;50,"F",IF(S101&lt;=54.99,"P",IF(S101&lt;=59.99,"C",IF(S101&lt;=64.99,"B",IF(S101&lt;=69.99,"B+",IF(S101&lt;=74.99,"A",IF(S101&lt;=79.99,"A+","O")))))))</f>
        <v>B+</v>
      </c>
      <c r="U101" s="18" t="str">
        <f>IF(S101&lt;50,"0",IF(S101&lt;=54.99,"4",IF(S101&lt;=59.99,"5",IF(S101&lt;=64.99,"6",IF(S101&lt;=69.99,"7",IF(S101&lt;=74.99,"8",IF(S101&lt;=79.99,"9","10")))))))</f>
        <v>7</v>
      </c>
      <c r="V101" s="28">
        <v>4</v>
      </c>
      <c r="W101" s="29">
        <f>U101*V101</f>
        <v>28</v>
      </c>
      <c r="X101" s="22">
        <f>'[6]4th Subject'!$C46</f>
        <v>28</v>
      </c>
      <c r="Y101" s="23">
        <f>'[6]4th Subject'!$D46</f>
        <v>37</v>
      </c>
      <c r="Z101" s="27">
        <f>Y101+X101</f>
        <v>65</v>
      </c>
      <c r="AA101" s="18" t="str">
        <f>IF(Z101&lt;50,"F",IF(Z101&lt;=54.99,"P",IF(Z101&lt;=59.99,"C",IF(Z101&lt;=64.99,"B",IF(Z101&lt;=69.99,"B+",IF(Z101&lt;=74.99,"A",IF(Z101&lt;=79.99,"A+","O")))))))</f>
        <v>B+</v>
      </c>
      <c r="AB101" s="18" t="str">
        <f>IF(Z101&lt;50,"0",IF(Z101&lt;=54.99,"4",IF(Z101&lt;=59.99,"5",IF(Z101&lt;=64.99,"6",IF(Z101&lt;=69.99,"7",IF(Z101&lt;=74.99,"8",IF(Z101&lt;=79.99,"9","10")))))))</f>
        <v>7</v>
      </c>
      <c r="AC101" s="28">
        <v>4</v>
      </c>
      <c r="AD101" s="29">
        <f>AB101*AC101</f>
        <v>28</v>
      </c>
      <c r="AE101" s="22">
        <f>'[7]5th Subject'!$C46</f>
        <v>28</v>
      </c>
      <c r="AF101" s="23">
        <f>'[7]5th Subject'!$D46</f>
        <v>37</v>
      </c>
      <c r="AG101" s="27">
        <f>AF101+AE101</f>
        <v>65</v>
      </c>
      <c r="AH101" s="18" t="str">
        <f>IF(AG101&lt;50,"F",IF(AG101&lt;=54.99,"P",IF(AG101&lt;=59.99,"C",IF(AG101&lt;=64.99,"B",IF(AG101&lt;=69.99,"B+",IF(AG101&lt;=74.99,"A",IF(AG101&lt;=79.99,"A+","O")))))))</f>
        <v>B+</v>
      </c>
      <c r="AI101" s="18" t="str">
        <f>IF(AG101&lt;50,"0",IF(AG101&lt;=54.99,"4",IF(AG101&lt;=59.99,"5",IF(AG101&lt;=64.99,"6",IF(AG101&lt;=69.99,"7",IF(AG101&lt;=74.99,"8",IF(AG101&lt;=79.99,"9","10")))))))</f>
        <v>7</v>
      </c>
      <c r="AJ101" s="28">
        <v>4</v>
      </c>
      <c r="AK101" s="29">
        <f>AI101*AJ101</f>
        <v>28</v>
      </c>
      <c r="AL101" s="22">
        <f>'[8]6th Subject'!$C46</f>
        <v>28</v>
      </c>
      <c r="AM101" s="22">
        <f>'[8]6th Subject'!$D46</f>
        <v>37</v>
      </c>
      <c r="AN101" s="27">
        <f>AM101+AL101</f>
        <v>65</v>
      </c>
      <c r="AO101" s="18" t="str">
        <f>IF(AN101&lt;50,"F",IF(AN101&lt;=54.99,"P",IF(AN101&lt;=59.99,"C",IF(AN101&lt;=64.99,"B",IF(AN101&lt;=69.99,"B+",IF(AN101&lt;=74.99,"A",IF(AN101&lt;=79.99,"A+","O")))))))</f>
        <v>B+</v>
      </c>
      <c r="AP101" s="18" t="str">
        <f>IF(AN101&lt;50,"0",IF(AN101&lt;=54.99,"4",IF(AN101&lt;=59.99,"5",IF(AN101&lt;=64.99,"6",IF(AN101&lt;=69.99,"7",IF(AN101&lt;=74.99,"8",IF(AN101&lt;=79.99,"9","10")))))))</f>
        <v>7</v>
      </c>
      <c r="AQ101" s="28">
        <v>4</v>
      </c>
      <c r="AR101" s="29">
        <f>AP101*AQ101</f>
        <v>28</v>
      </c>
      <c r="AS101" s="16">
        <f>'[9]7th Subject'!$C46</f>
        <v>28</v>
      </c>
      <c r="AT101" s="16">
        <f>'[9]7th Subject'!$D46</f>
        <v>37</v>
      </c>
      <c r="AU101" s="27">
        <f>AT101+AS101</f>
        <v>65</v>
      </c>
      <c r="AV101" s="18" t="str">
        <f>IF(AU101&lt;50,"F",IF(AU101&lt;=54.99,"P",IF(AU101&lt;=59.99,"C",IF(AU101&lt;=64.99,"B",IF(AU101&lt;=69.99,"B+",IF(AU101&lt;=74.99,"A",IF(AU101&lt;=79.99,"A+","O")))))))</f>
        <v>B+</v>
      </c>
      <c r="AW101" s="18" t="str">
        <f>IF(AU101&lt;50,"0",IF(AU101&lt;=54.99,"4",IF(AU101&lt;=59.99,"5",IF(AU101&lt;=64.99,"6",IF(AU101&lt;=69.99,"7",IF(AU101&lt;=74.99,"8",IF(AU101&lt;=79.99,"9","10")))))))</f>
        <v>7</v>
      </c>
      <c r="AX101" s="28">
        <v>4</v>
      </c>
      <c r="AY101" s="29">
        <f>AW101*AX101</f>
        <v>28</v>
      </c>
      <c r="AZ101" s="22">
        <f>'[10]8th Subject'!$C46</f>
        <v>28</v>
      </c>
      <c r="BA101" s="22">
        <f>'[10]8th Subject'!$D46</f>
        <v>37</v>
      </c>
      <c r="BB101" s="27">
        <f>BA101+AZ101</f>
        <v>65</v>
      </c>
      <c r="BC101" s="18" t="str">
        <f>IF(BB101&lt;50,"F",IF(BB101&lt;=54.99,"P",IF(BB101&lt;=59.99,"C",IF(BB101&lt;=64.99,"B",IF(BB101&lt;=69.99,"B+",IF(BB101&lt;=74.99,"A",IF(BB101&lt;=79.99,"A+","O")))))))</f>
        <v>B+</v>
      </c>
      <c r="BD101" s="18" t="str">
        <f>IF(BB101&lt;50,"0",IF(BB101&lt;=54.99,"4",IF(BB101&lt;=59.99,"5",IF(BB101&lt;=64.99,"6",IF(BB101&lt;=69.99,"7",IF(BB101&lt;=74.99,"8",IF(BB101&lt;=79.99,"9","10")))))))</f>
        <v>7</v>
      </c>
      <c r="BE101" s="28">
        <v>4</v>
      </c>
      <c r="BF101" s="29">
        <f>BD101*BE101</f>
        <v>28</v>
      </c>
      <c r="BG101" s="27">
        <f>AZ101+AS101+AE101+X101+J101+C101+Q101+AL101</f>
        <v>224</v>
      </c>
      <c r="BH101" s="27">
        <f>BA101+AT101+AF101+Y101+K101+D101+R101+AM101</f>
        <v>296</v>
      </c>
      <c r="BI101" s="27">
        <f>BH101+BG101</f>
        <v>520</v>
      </c>
      <c r="BJ101" s="30">
        <f>G101+N101+U101+AB101+AI101+AP101+BD101+AW101</f>
        <v>56</v>
      </c>
      <c r="BK101" s="30">
        <f>I101+P101+W101+AD101+AK101+AY101+BF101+AR101</f>
        <v>224</v>
      </c>
      <c r="BL101" s="25">
        <f>(BN101-0.75)*10</f>
        <v>62.5</v>
      </c>
      <c r="BM101" s="17" t="str">
        <f>IF(OR(C101&lt;20,D101&lt;30,J101&lt;20,K101&lt;30,Q101&lt;20,R101&lt;30,X101&lt;20,Y101&lt;30,AE101&lt;20,AF101&lt;30,AL101&lt;20,AM101&lt;30,AS101&lt;20,AT101&lt;30,AZ101&lt;20,BA101&lt;30),"Unsuccessful","Successful")</f>
        <v>Successful</v>
      </c>
      <c r="BN101" s="31">
        <f>BK101/32</f>
        <v>7</v>
      </c>
      <c r="BO101" s="18" t="str">
        <f>IF(BN101&lt;=4,"F",IF(BN101&lt;=4.5,"P",IF(BN101&lt;=5.5,"C",IF(BN101&lt;=6.5,"B",IF(BN101&lt;=7.5,"B+",IF(BN101&lt;=8.5,"A",IF(BN101&lt;=9.5,"A+","O")))))))</f>
        <v>B+</v>
      </c>
      <c r="BP101" s="14" t="str">
        <f>IF(BN101&lt;=4,"50",IF(BN101&lt;=4.5,"50-54.99",IF(BN101&lt;=5.5,"55-59.99",IF(BN101&lt;=6.5,"60-64.99",IF(BN101&lt;=7.5,"65-69.99",IF(BN101&lt;=8.5,"70-74.99",IF(BN101&lt;=9.5,"75-79.99","10")))))))</f>
        <v>65-69.99</v>
      </c>
      <c r="BS101">
        <f>RANK(BN101,$BN$3:$BN$135)</f>
        <v>68</v>
      </c>
    </row>
    <row r="102" spans="1:71" x14ac:dyDescent="0.25">
      <c r="A102" s="14" t="str">
        <f>[2]Sheet1!$A56</f>
        <v>MMS18-20/055</v>
      </c>
      <c r="B102" s="15" t="str">
        <f>[2]Sheet1!$B56</f>
        <v xml:space="preserve">PANCHAL ANIKET AVINASH AARTI </v>
      </c>
      <c r="C102" s="16">
        <f>'[3]1st Subject'!$C57</f>
        <v>28</v>
      </c>
      <c r="D102" s="16">
        <f>'[3]1st Subject'!$D57</f>
        <v>37</v>
      </c>
      <c r="E102" s="27">
        <f>D102+C102</f>
        <v>65</v>
      </c>
      <c r="F102" s="18" t="str">
        <f>IF(E102&lt;50,"F",IF(E102&lt;=54.99,"P",IF(E102&lt;=59.99,"C",IF(E102&lt;=64.99,"B",IF(E102&lt;=69.99,"B+",IF(E102&lt;=74.99,"A",IF(E102&lt;=79.99,"A+","O")))))))</f>
        <v>B+</v>
      </c>
      <c r="G102" s="18" t="str">
        <f>IF(E102&lt;50,"0",IF(E102&lt;=54.99,"4",IF(E102&lt;=59.99,"5",IF(E102&lt;=64.99,"6",IF(E102&lt;=69.99,"7",IF(E102&lt;=74.99,"8",IF(E102&lt;=79.99,"9","10")))))))</f>
        <v>7</v>
      </c>
      <c r="H102" s="28">
        <v>4</v>
      </c>
      <c r="I102" s="29">
        <f>G102*H102</f>
        <v>28</v>
      </c>
      <c r="J102" s="16">
        <f>'[4]2nd Subject'!$C57</f>
        <v>28</v>
      </c>
      <c r="K102" s="16">
        <f>'[4]2nd Subject'!$D57</f>
        <v>37</v>
      </c>
      <c r="L102" s="27">
        <f>K102+J102</f>
        <v>65</v>
      </c>
      <c r="M102" s="18" t="str">
        <f>IF(L102&lt;50,"F",IF(L102&lt;=54.99,"P",IF(L102&lt;=59.99,"C",IF(L102&lt;=64.99,"B",IF(L102&lt;=69.99,"B+",IF(L102&lt;=74.99,"A",IF(L102&lt;=79.99,"A+","O")))))))</f>
        <v>B+</v>
      </c>
      <c r="N102" s="18" t="str">
        <f>IF(L102&lt;50,"0",IF(L102&lt;=54.99,"4",IF(L102&lt;=59.99,"5",IF(L102&lt;=64.99,"6",IF(L102&lt;=69.99,"7",IF(L102&lt;=74.99,"8",IF(L102&lt;=79.99,"9","10")))))))</f>
        <v>7</v>
      </c>
      <c r="O102" s="28">
        <v>4</v>
      </c>
      <c r="P102" s="29">
        <f>N102*O102</f>
        <v>28</v>
      </c>
      <c r="Q102" s="21">
        <f>'[5]3rd Subject'!$C57</f>
        <v>28</v>
      </c>
      <c r="R102" s="21">
        <f>'[5]3rd Subject'!$D57</f>
        <v>37</v>
      </c>
      <c r="S102" s="27">
        <f>R102+Q102</f>
        <v>65</v>
      </c>
      <c r="T102" s="18" t="str">
        <f>IF(S102&lt;50,"F",IF(S102&lt;=54.99,"P",IF(S102&lt;=59.99,"C",IF(S102&lt;=64.99,"B",IF(S102&lt;=69.99,"B+",IF(S102&lt;=74.99,"A",IF(S102&lt;=79.99,"A+","O")))))))</f>
        <v>B+</v>
      </c>
      <c r="U102" s="18" t="str">
        <f>IF(S102&lt;50,"0",IF(S102&lt;=54.99,"4",IF(S102&lt;=59.99,"5",IF(S102&lt;=64.99,"6",IF(S102&lt;=69.99,"7",IF(S102&lt;=74.99,"8",IF(S102&lt;=79.99,"9","10")))))))</f>
        <v>7</v>
      </c>
      <c r="V102" s="28">
        <v>4</v>
      </c>
      <c r="W102" s="29">
        <f>U102*V102</f>
        <v>28</v>
      </c>
      <c r="X102" s="22">
        <f>'[6]4th Subject'!$C57</f>
        <v>28</v>
      </c>
      <c r="Y102" s="23">
        <f>'[6]4th Subject'!$D57</f>
        <v>37</v>
      </c>
      <c r="Z102" s="27">
        <f>Y102+X102</f>
        <v>65</v>
      </c>
      <c r="AA102" s="18" t="str">
        <f>IF(Z102&lt;50,"F",IF(Z102&lt;=54.99,"P",IF(Z102&lt;=59.99,"C",IF(Z102&lt;=64.99,"B",IF(Z102&lt;=69.99,"B+",IF(Z102&lt;=74.99,"A",IF(Z102&lt;=79.99,"A+","O")))))))</f>
        <v>B+</v>
      </c>
      <c r="AB102" s="18" t="str">
        <f>IF(Z102&lt;50,"0",IF(Z102&lt;=54.99,"4",IF(Z102&lt;=59.99,"5",IF(Z102&lt;=64.99,"6",IF(Z102&lt;=69.99,"7",IF(Z102&lt;=74.99,"8",IF(Z102&lt;=79.99,"9","10")))))))</f>
        <v>7</v>
      </c>
      <c r="AC102" s="28">
        <v>4</v>
      </c>
      <c r="AD102" s="29">
        <f>AB102*AC102</f>
        <v>28</v>
      </c>
      <c r="AE102" s="22">
        <f>'[7]5th Subject'!$C57</f>
        <v>28</v>
      </c>
      <c r="AF102" s="23">
        <f>'[7]5th Subject'!$D57</f>
        <v>37</v>
      </c>
      <c r="AG102" s="27">
        <f>AF102+AE102</f>
        <v>65</v>
      </c>
      <c r="AH102" s="18" t="str">
        <f>IF(AG102&lt;50,"F",IF(AG102&lt;=54.99,"P",IF(AG102&lt;=59.99,"C",IF(AG102&lt;=64.99,"B",IF(AG102&lt;=69.99,"B+",IF(AG102&lt;=74.99,"A",IF(AG102&lt;=79.99,"A+","O")))))))</f>
        <v>B+</v>
      </c>
      <c r="AI102" s="18" t="str">
        <f>IF(AG102&lt;50,"0",IF(AG102&lt;=54.99,"4",IF(AG102&lt;=59.99,"5",IF(AG102&lt;=64.99,"6",IF(AG102&lt;=69.99,"7",IF(AG102&lt;=74.99,"8",IF(AG102&lt;=79.99,"9","10")))))))</f>
        <v>7</v>
      </c>
      <c r="AJ102" s="28">
        <v>4</v>
      </c>
      <c r="AK102" s="29">
        <f>AI102*AJ102</f>
        <v>28</v>
      </c>
      <c r="AL102" s="22">
        <f>'[8]6th Subject'!$C57</f>
        <v>28</v>
      </c>
      <c r="AM102" s="22">
        <f>'[8]6th Subject'!$D57</f>
        <v>37</v>
      </c>
      <c r="AN102" s="27">
        <f>AM102+AL102</f>
        <v>65</v>
      </c>
      <c r="AO102" s="18" t="str">
        <f>IF(AN102&lt;50,"F",IF(AN102&lt;=54.99,"P",IF(AN102&lt;=59.99,"C",IF(AN102&lt;=64.99,"B",IF(AN102&lt;=69.99,"B+",IF(AN102&lt;=74.99,"A",IF(AN102&lt;=79.99,"A+","O")))))))</f>
        <v>B+</v>
      </c>
      <c r="AP102" s="18" t="str">
        <f>IF(AN102&lt;50,"0",IF(AN102&lt;=54.99,"4",IF(AN102&lt;=59.99,"5",IF(AN102&lt;=64.99,"6",IF(AN102&lt;=69.99,"7",IF(AN102&lt;=74.99,"8",IF(AN102&lt;=79.99,"9","10")))))))</f>
        <v>7</v>
      </c>
      <c r="AQ102" s="28">
        <v>4</v>
      </c>
      <c r="AR102" s="29">
        <f>AP102*AQ102</f>
        <v>28</v>
      </c>
      <c r="AS102" s="16">
        <f>'[9]7th Subject'!$C57</f>
        <v>28</v>
      </c>
      <c r="AT102" s="16">
        <f>'[9]7th Subject'!$D57</f>
        <v>37</v>
      </c>
      <c r="AU102" s="27">
        <f>AT102+AS102</f>
        <v>65</v>
      </c>
      <c r="AV102" s="18" t="str">
        <f>IF(AU102&lt;50,"F",IF(AU102&lt;=54.99,"P",IF(AU102&lt;=59.99,"C",IF(AU102&lt;=64.99,"B",IF(AU102&lt;=69.99,"B+",IF(AU102&lt;=74.99,"A",IF(AU102&lt;=79.99,"A+","O")))))))</f>
        <v>B+</v>
      </c>
      <c r="AW102" s="18" t="str">
        <f>IF(AU102&lt;50,"0",IF(AU102&lt;=54.99,"4",IF(AU102&lt;=59.99,"5",IF(AU102&lt;=64.99,"6",IF(AU102&lt;=69.99,"7",IF(AU102&lt;=74.99,"8",IF(AU102&lt;=79.99,"9","10")))))))</f>
        <v>7</v>
      </c>
      <c r="AX102" s="28">
        <v>4</v>
      </c>
      <c r="AY102" s="29">
        <f>AW102*AX102</f>
        <v>28</v>
      </c>
      <c r="AZ102" s="22">
        <f>'[10]8th Subject'!$C57</f>
        <v>28</v>
      </c>
      <c r="BA102" s="22">
        <f>'[10]8th Subject'!$D57</f>
        <v>37</v>
      </c>
      <c r="BB102" s="27">
        <f>BA102+AZ102</f>
        <v>65</v>
      </c>
      <c r="BC102" s="18" t="str">
        <f>IF(BB102&lt;50,"F",IF(BB102&lt;=54.99,"P",IF(BB102&lt;=59.99,"C",IF(BB102&lt;=64.99,"B",IF(BB102&lt;=69.99,"B+",IF(BB102&lt;=74.99,"A",IF(BB102&lt;=79.99,"A+","O")))))))</f>
        <v>B+</v>
      </c>
      <c r="BD102" s="18" t="str">
        <f>IF(BB102&lt;50,"0",IF(BB102&lt;=54.99,"4",IF(BB102&lt;=59.99,"5",IF(BB102&lt;=64.99,"6",IF(BB102&lt;=69.99,"7",IF(BB102&lt;=74.99,"8",IF(BB102&lt;=79.99,"9","10")))))))</f>
        <v>7</v>
      </c>
      <c r="BE102" s="28">
        <v>4</v>
      </c>
      <c r="BF102" s="29">
        <f>BD102*BE102</f>
        <v>28</v>
      </c>
      <c r="BG102" s="27">
        <f>AZ102+AS102+AE102+X102+J102+C102+Q102+AL102</f>
        <v>224</v>
      </c>
      <c r="BH102" s="27">
        <f>BA102+AT102+AF102+Y102+K102+D102+R102+AM102</f>
        <v>296</v>
      </c>
      <c r="BI102" s="27">
        <f>BH102+BG102</f>
        <v>520</v>
      </c>
      <c r="BJ102" s="30">
        <f>G102+N102+U102+AB102+AI102+AP102+BD102+AW102</f>
        <v>56</v>
      </c>
      <c r="BK102" s="30">
        <f>I102+P102+W102+AD102+AK102+AY102+BF102+AR102</f>
        <v>224</v>
      </c>
      <c r="BL102" s="25">
        <f>(BN102-0.75)*10</f>
        <v>62.5</v>
      </c>
      <c r="BM102" s="17" t="str">
        <f>IF(OR(C102&lt;20,D102&lt;30,J102&lt;20,K102&lt;30,Q102&lt;20,R102&lt;30,X102&lt;20,Y102&lt;30,AE102&lt;20,AF102&lt;30,AL102&lt;20,AM102&lt;30,AS102&lt;20,AT102&lt;30,AZ102&lt;20,BA102&lt;30),"Unsuccessful","Successful")</f>
        <v>Successful</v>
      </c>
      <c r="BN102" s="31">
        <f>BK102/32</f>
        <v>7</v>
      </c>
      <c r="BO102" s="18" t="str">
        <f>IF(BN102&lt;=4,"F",IF(BN102&lt;=4.5,"P",IF(BN102&lt;=5.5,"C",IF(BN102&lt;=6.5,"B",IF(BN102&lt;=7.5,"B+",IF(BN102&lt;=8.5,"A",IF(BN102&lt;=9.5,"A+","O")))))))</f>
        <v>B+</v>
      </c>
      <c r="BP102" s="14" t="str">
        <f>IF(BN102&lt;=4,"50",IF(BN102&lt;=4.5,"50-54.99",IF(BN102&lt;=5.5,"55-59.99",IF(BN102&lt;=6.5,"60-64.99",IF(BN102&lt;=7.5,"65-69.99",IF(BN102&lt;=8.5,"70-74.99",IF(BN102&lt;=9.5,"75-79.99","10")))))))</f>
        <v>65-69.99</v>
      </c>
      <c r="BS102">
        <f>RANK(BN102,$BN$3:$BN$135)</f>
        <v>68</v>
      </c>
    </row>
    <row r="103" spans="1:71" x14ac:dyDescent="0.25">
      <c r="A103" s="14" t="str">
        <f>[2]Sheet1!$A67</f>
        <v>MMS18-20/066</v>
      </c>
      <c r="B103" s="15" t="str">
        <f>[2]Sheet1!$B67</f>
        <v xml:space="preserve">GANDHI BHAVIK AJAY HARSHA </v>
      </c>
      <c r="C103" s="16">
        <f>'[3]1st Subject'!$C68</f>
        <v>28</v>
      </c>
      <c r="D103" s="16">
        <f>'[3]1st Subject'!$D68</f>
        <v>37</v>
      </c>
      <c r="E103" s="27">
        <f>D103+C103</f>
        <v>65</v>
      </c>
      <c r="F103" s="18" t="str">
        <f>IF(E103&lt;50,"F",IF(E103&lt;=54.99,"P",IF(E103&lt;=59.99,"C",IF(E103&lt;=64.99,"B",IF(E103&lt;=69.99,"B+",IF(E103&lt;=74.99,"A",IF(E103&lt;=79.99,"A+","O")))))))</f>
        <v>B+</v>
      </c>
      <c r="G103" s="18" t="str">
        <f>IF(E103&lt;50,"0",IF(E103&lt;=54.99,"4",IF(E103&lt;=59.99,"5",IF(E103&lt;=64.99,"6",IF(E103&lt;=69.99,"7",IF(E103&lt;=74.99,"8",IF(E103&lt;=79.99,"9","10")))))))</f>
        <v>7</v>
      </c>
      <c r="H103" s="28">
        <v>4</v>
      </c>
      <c r="I103" s="29">
        <f>G103*H103</f>
        <v>28</v>
      </c>
      <c r="J103" s="16">
        <f>'[4]2nd Subject'!$C68</f>
        <v>28</v>
      </c>
      <c r="K103" s="16">
        <f>'[4]2nd Subject'!$D68</f>
        <v>37</v>
      </c>
      <c r="L103" s="27">
        <f>K103+J103</f>
        <v>65</v>
      </c>
      <c r="M103" s="18" t="str">
        <f>IF(L103&lt;50,"F",IF(L103&lt;=54.99,"P",IF(L103&lt;=59.99,"C",IF(L103&lt;=64.99,"B",IF(L103&lt;=69.99,"B+",IF(L103&lt;=74.99,"A",IF(L103&lt;=79.99,"A+","O")))))))</f>
        <v>B+</v>
      </c>
      <c r="N103" s="18" t="str">
        <f>IF(L103&lt;50,"0",IF(L103&lt;=54.99,"4",IF(L103&lt;=59.99,"5",IF(L103&lt;=64.99,"6",IF(L103&lt;=69.99,"7",IF(L103&lt;=74.99,"8",IF(L103&lt;=79.99,"9","10")))))))</f>
        <v>7</v>
      </c>
      <c r="O103" s="28">
        <v>4</v>
      </c>
      <c r="P103" s="29">
        <f>N103*O103</f>
        <v>28</v>
      </c>
      <c r="Q103" s="21">
        <f>'[5]3rd Subject'!$C68</f>
        <v>28</v>
      </c>
      <c r="R103" s="21">
        <f>'[5]3rd Subject'!$D68</f>
        <v>37</v>
      </c>
      <c r="S103" s="27">
        <f>R103+Q103</f>
        <v>65</v>
      </c>
      <c r="T103" s="18" t="str">
        <f>IF(S103&lt;50,"F",IF(S103&lt;=54.99,"P",IF(S103&lt;=59.99,"C",IF(S103&lt;=64.99,"B",IF(S103&lt;=69.99,"B+",IF(S103&lt;=74.99,"A",IF(S103&lt;=79.99,"A+","O")))))))</f>
        <v>B+</v>
      </c>
      <c r="U103" s="18" t="str">
        <f>IF(S103&lt;50,"0",IF(S103&lt;=54.99,"4",IF(S103&lt;=59.99,"5",IF(S103&lt;=64.99,"6",IF(S103&lt;=69.99,"7",IF(S103&lt;=74.99,"8",IF(S103&lt;=79.99,"9","10")))))))</f>
        <v>7</v>
      </c>
      <c r="V103" s="28">
        <v>4</v>
      </c>
      <c r="W103" s="29">
        <f>U103*V103</f>
        <v>28</v>
      </c>
      <c r="X103" s="22">
        <f>'[6]4th Subject'!$C68</f>
        <v>28</v>
      </c>
      <c r="Y103" s="23">
        <f>'[6]4th Subject'!$D68</f>
        <v>37</v>
      </c>
      <c r="Z103" s="27">
        <f>Y103+X103</f>
        <v>65</v>
      </c>
      <c r="AA103" s="18" t="str">
        <f>IF(Z103&lt;50,"F",IF(Z103&lt;=54.99,"P",IF(Z103&lt;=59.99,"C",IF(Z103&lt;=64.99,"B",IF(Z103&lt;=69.99,"B+",IF(Z103&lt;=74.99,"A",IF(Z103&lt;=79.99,"A+","O")))))))</f>
        <v>B+</v>
      </c>
      <c r="AB103" s="18" t="str">
        <f>IF(Z103&lt;50,"0",IF(Z103&lt;=54.99,"4",IF(Z103&lt;=59.99,"5",IF(Z103&lt;=64.99,"6",IF(Z103&lt;=69.99,"7",IF(Z103&lt;=74.99,"8",IF(Z103&lt;=79.99,"9","10")))))))</f>
        <v>7</v>
      </c>
      <c r="AC103" s="28">
        <v>4</v>
      </c>
      <c r="AD103" s="29">
        <f>AB103*AC103</f>
        <v>28</v>
      </c>
      <c r="AE103" s="22">
        <f>'[7]5th Subject'!$C68</f>
        <v>28</v>
      </c>
      <c r="AF103" s="23">
        <f>'[7]5th Subject'!$D68</f>
        <v>37</v>
      </c>
      <c r="AG103" s="27">
        <f>AF103+AE103</f>
        <v>65</v>
      </c>
      <c r="AH103" s="18" t="str">
        <f>IF(AG103&lt;50,"F",IF(AG103&lt;=54.99,"P",IF(AG103&lt;=59.99,"C",IF(AG103&lt;=64.99,"B",IF(AG103&lt;=69.99,"B+",IF(AG103&lt;=74.99,"A",IF(AG103&lt;=79.99,"A+","O")))))))</f>
        <v>B+</v>
      </c>
      <c r="AI103" s="18" t="str">
        <f>IF(AG103&lt;50,"0",IF(AG103&lt;=54.99,"4",IF(AG103&lt;=59.99,"5",IF(AG103&lt;=64.99,"6",IF(AG103&lt;=69.99,"7",IF(AG103&lt;=74.99,"8",IF(AG103&lt;=79.99,"9","10")))))))</f>
        <v>7</v>
      </c>
      <c r="AJ103" s="28">
        <v>4</v>
      </c>
      <c r="AK103" s="29">
        <f>AI103*AJ103</f>
        <v>28</v>
      </c>
      <c r="AL103" s="22">
        <f>'[8]6th Subject'!$C68</f>
        <v>28</v>
      </c>
      <c r="AM103" s="22">
        <f>'[8]6th Subject'!$D68</f>
        <v>37</v>
      </c>
      <c r="AN103" s="27">
        <f>AM103+AL103</f>
        <v>65</v>
      </c>
      <c r="AO103" s="18" t="str">
        <f>IF(AN103&lt;50,"F",IF(AN103&lt;=54.99,"P",IF(AN103&lt;=59.99,"C",IF(AN103&lt;=64.99,"B",IF(AN103&lt;=69.99,"B+",IF(AN103&lt;=74.99,"A",IF(AN103&lt;=79.99,"A+","O")))))))</f>
        <v>B+</v>
      </c>
      <c r="AP103" s="18" t="str">
        <f>IF(AN103&lt;50,"0",IF(AN103&lt;=54.99,"4",IF(AN103&lt;=59.99,"5",IF(AN103&lt;=64.99,"6",IF(AN103&lt;=69.99,"7",IF(AN103&lt;=74.99,"8",IF(AN103&lt;=79.99,"9","10")))))))</f>
        <v>7</v>
      </c>
      <c r="AQ103" s="28">
        <v>4</v>
      </c>
      <c r="AR103" s="29">
        <f>AP103*AQ103</f>
        <v>28</v>
      </c>
      <c r="AS103" s="16">
        <f>'[9]7th Subject'!$C68</f>
        <v>28</v>
      </c>
      <c r="AT103" s="16">
        <f>'[9]7th Subject'!$D68</f>
        <v>37</v>
      </c>
      <c r="AU103" s="27">
        <f>AT103+AS103</f>
        <v>65</v>
      </c>
      <c r="AV103" s="18" t="str">
        <f>IF(AU103&lt;50,"F",IF(AU103&lt;=54.99,"P",IF(AU103&lt;=59.99,"C",IF(AU103&lt;=64.99,"B",IF(AU103&lt;=69.99,"B+",IF(AU103&lt;=74.99,"A",IF(AU103&lt;=79.99,"A+","O")))))))</f>
        <v>B+</v>
      </c>
      <c r="AW103" s="18" t="str">
        <f>IF(AU103&lt;50,"0",IF(AU103&lt;=54.99,"4",IF(AU103&lt;=59.99,"5",IF(AU103&lt;=64.99,"6",IF(AU103&lt;=69.99,"7",IF(AU103&lt;=74.99,"8",IF(AU103&lt;=79.99,"9","10")))))))</f>
        <v>7</v>
      </c>
      <c r="AX103" s="28">
        <v>4</v>
      </c>
      <c r="AY103" s="29">
        <f>AW103*AX103</f>
        <v>28</v>
      </c>
      <c r="AZ103" s="22">
        <f>'[10]8th Subject'!$C68</f>
        <v>28</v>
      </c>
      <c r="BA103" s="22">
        <f>'[10]8th Subject'!$D68</f>
        <v>37</v>
      </c>
      <c r="BB103" s="27">
        <f>BA103+AZ103</f>
        <v>65</v>
      </c>
      <c r="BC103" s="18" t="str">
        <f>IF(BB103&lt;50,"F",IF(BB103&lt;=54.99,"P",IF(BB103&lt;=59.99,"C",IF(BB103&lt;=64.99,"B",IF(BB103&lt;=69.99,"B+",IF(BB103&lt;=74.99,"A",IF(BB103&lt;=79.99,"A+","O")))))))</f>
        <v>B+</v>
      </c>
      <c r="BD103" s="18" t="str">
        <f>IF(BB103&lt;50,"0",IF(BB103&lt;=54.99,"4",IF(BB103&lt;=59.99,"5",IF(BB103&lt;=64.99,"6",IF(BB103&lt;=69.99,"7",IF(BB103&lt;=74.99,"8",IF(BB103&lt;=79.99,"9","10")))))))</f>
        <v>7</v>
      </c>
      <c r="BE103" s="28">
        <v>4</v>
      </c>
      <c r="BF103" s="29">
        <f>BD103*BE103</f>
        <v>28</v>
      </c>
      <c r="BG103" s="27">
        <f>AZ103+AS103+AE103+X103+J103+C103+Q103+AL103</f>
        <v>224</v>
      </c>
      <c r="BH103" s="27">
        <f>BA103+AT103+AF103+Y103+K103+D103+R103+AM103</f>
        <v>296</v>
      </c>
      <c r="BI103" s="27">
        <f>BH103+BG103</f>
        <v>520</v>
      </c>
      <c r="BJ103" s="30">
        <f>G103+N103+U103+AB103+AI103+AP103+BD103+AW103</f>
        <v>56</v>
      </c>
      <c r="BK103" s="30">
        <f>I103+P103+W103+AD103+AK103+AY103+BF103+AR103</f>
        <v>224</v>
      </c>
      <c r="BL103" s="25">
        <f>(BN103-0.75)*10</f>
        <v>62.5</v>
      </c>
      <c r="BM103" s="17" t="str">
        <f>IF(OR(C103&lt;20,D103&lt;30,J103&lt;20,K103&lt;30,Q103&lt;20,R103&lt;30,X103&lt;20,Y103&lt;30,AE103&lt;20,AF103&lt;30,AL103&lt;20,AM103&lt;30,AS103&lt;20,AT103&lt;30,AZ103&lt;20,BA103&lt;30),"Unsuccessful","Successful")</f>
        <v>Successful</v>
      </c>
      <c r="BN103" s="31">
        <f>BK103/32</f>
        <v>7</v>
      </c>
      <c r="BO103" s="18" t="str">
        <f>IF(BN103&lt;=4,"F",IF(BN103&lt;=4.5,"P",IF(BN103&lt;=5.5,"C",IF(BN103&lt;=6.5,"B",IF(BN103&lt;=7.5,"B+",IF(BN103&lt;=8.5,"A",IF(BN103&lt;=9.5,"A+","O")))))))</f>
        <v>B+</v>
      </c>
      <c r="BP103" s="14" t="str">
        <f>IF(BN103&lt;=4,"50",IF(BN103&lt;=4.5,"50-54.99",IF(BN103&lt;=5.5,"55-59.99",IF(BN103&lt;=6.5,"60-64.99",IF(BN103&lt;=7.5,"65-69.99",IF(BN103&lt;=8.5,"70-74.99",IF(BN103&lt;=9.5,"75-79.99","10")))))))</f>
        <v>65-69.99</v>
      </c>
      <c r="BS103">
        <f>RANK(BN103,$BN$3:$BN$135)</f>
        <v>68</v>
      </c>
    </row>
    <row r="104" spans="1:71" x14ac:dyDescent="0.25">
      <c r="A104" s="14" t="str">
        <f>[2]Sheet1!$A78</f>
        <v>MMS18-20/077</v>
      </c>
      <c r="B104" s="15" t="str">
        <f>[2]Sheet1!$B78</f>
        <v>/PANDYA VANESHA EDWIN SHASHMIRA</v>
      </c>
      <c r="C104" s="16">
        <f>'[3]1st Subject'!$C79</f>
        <v>28</v>
      </c>
      <c r="D104" s="16">
        <f>'[3]1st Subject'!$D79</f>
        <v>37</v>
      </c>
      <c r="E104" s="27">
        <f>D104+C104</f>
        <v>65</v>
      </c>
      <c r="F104" s="18" t="str">
        <f>IF(E104&lt;50,"F",IF(E104&lt;=54.99,"P",IF(E104&lt;=59.99,"C",IF(E104&lt;=64.99,"B",IF(E104&lt;=69.99,"B+",IF(E104&lt;=74.99,"A",IF(E104&lt;=79.99,"A+","O")))))))</f>
        <v>B+</v>
      </c>
      <c r="G104" s="18" t="str">
        <f>IF(E104&lt;50,"0",IF(E104&lt;=54.99,"4",IF(E104&lt;=59.99,"5",IF(E104&lt;=64.99,"6",IF(E104&lt;=69.99,"7",IF(E104&lt;=74.99,"8",IF(E104&lt;=79.99,"9","10")))))))</f>
        <v>7</v>
      </c>
      <c r="H104" s="28">
        <v>4</v>
      </c>
      <c r="I104" s="29">
        <f>G104*H104</f>
        <v>28</v>
      </c>
      <c r="J104" s="16">
        <f>'[4]2nd Subject'!$C79</f>
        <v>28</v>
      </c>
      <c r="K104" s="16">
        <f>'[4]2nd Subject'!$D79</f>
        <v>37</v>
      </c>
      <c r="L104" s="27">
        <f>K104+J104</f>
        <v>65</v>
      </c>
      <c r="M104" s="18" t="str">
        <f>IF(L104&lt;50,"F",IF(L104&lt;=54.99,"P",IF(L104&lt;=59.99,"C",IF(L104&lt;=64.99,"B",IF(L104&lt;=69.99,"B+",IF(L104&lt;=74.99,"A",IF(L104&lt;=79.99,"A+","O")))))))</f>
        <v>B+</v>
      </c>
      <c r="N104" s="18" t="str">
        <f>IF(L104&lt;50,"0",IF(L104&lt;=54.99,"4",IF(L104&lt;=59.99,"5",IF(L104&lt;=64.99,"6",IF(L104&lt;=69.99,"7",IF(L104&lt;=74.99,"8",IF(L104&lt;=79.99,"9","10")))))))</f>
        <v>7</v>
      </c>
      <c r="O104" s="28">
        <v>4</v>
      </c>
      <c r="P104" s="29">
        <f>N104*O104</f>
        <v>28</v>
      </c>
      <c r="Q104" s="21">
        <f>'[5]3rd Subject'!$C79</f>
        <v>28</v>
      </c>
      <c r="R104" s="21">
        <f>'[5]3rd Subject'!$D79</f>
        <v>37</v>
      </c>
      <c r="S104" s="27">
        <f>R104+Q104</f>
        <v>65</v>
      </c>
      <c r="T104" s="18" t="str">
        <f>IF(S104&lt;50,"F",IF(S104&lt;=54.99,"P",IF(S104&lt;=59.99,"C",IF(S104&lt;=64.99,"B",IF(S104&lt;=69.99,"B+",IF(S104&lt;=74.99,"A",IF(S104&lt;=79.99,"A+","O")))))))</f>
        <v>B+</v>
      </c>
      <c r="U104" s="18" t="str">
        <f>IF(S104&lt;50,"0",IF(S104&lt;=54.99,"4",IF(S104&lt;=59.99,"5",IF(S104&lt;=64.99,"6",IF(S104&lt;=69.99,"7",IF(S104&lt;=74.99,"8",IF(S104&lt;=79.99,"9","10")))))))</f>
        <v>7</v>
      </c>
      <c r="V104" s="28">
        <v>4</v>
      </c>
      <c r="W104" s="29">
        <f>U104*V104</f>
        <v>28</v>
      </c>
      <c r="X104" s="22">
        <f>'[6]4th Subject'!$C79</f>
        <v>28</v>
      </c>
      <c r="Y104" s="23">
        <f>'[6]4th Subject'!$D79</f>
        <v>37</v>
      </c>
      <c r="Z104" s="27">
        <f>Y104+X104</f>
        <v>65</v>
      </c>
      <c r="AA104" s="18" t="str">
        <f>IF(Z104&lt;50,"F",IF(Z104&lt;=54.99,"P",IF(Z104&lt;=59.99,"C",IF(Z104&lt;=64.99,"B",IF(Z104&lt;=69.99,"B+",IF(Z104&lt;=74.99,"A",IF(Z104&lt;=79.99,"A+","O")))))))</f>
        <v>B+</v>
      </c>
      <c r="AB104" s="18" t="str">
        <f>IF(Z104&lt;50,"0",IF(Z104&lt;=54.99,"4",IF(Z104&lt;=59.99,"5",IF(Z104&lt;=64.99,"6",IF(Z104&lt;=69.99,"7",IF(Z104&lt;=74.99,"8",IF(Z104&lt;=79.99,"9","10")))))))</f>
        <v>7</v>
      </c>
      <c r="AC104" s="28">
        <v>4</v>
      </c>
      <c r="AD104" s="29">
        <f>AB104*AC104</f>
        <v>28</v>
      </c>
      <c r="AE104" s="22">
        <f>'[7]5th Subject'!$C79</f>
        <v>28</v>
      </c>
      <c r="AF104" s="23">
        <f>'[7]5th Subject'!$D79</f>
        <v>37</v>
      </c>
      <c r="AG104" s="27">
        <f>AF104+AE104</f>
        <v>65</v>
      </c>
      <c r="AH104" s="18" t="str">
        <f>IF(AG104&lt;50,"F",IF(AG104&lt;=54.99,"P",IF(AG104&lt;=59.99,"C",IF(AG104&lt;=64.99,"B",IF(AG104&lt;=69.99,"B+",IF(AG104&lt;=74.99,"A",IF(AG104&lt;=79.99,"A+","O")))))))</f>
        <v>B+</v>
      </c>
      <c r="AI104" s="18" t="str">
        <f>IF(AG104&lt;50,"0",IF(AG104&lt;=54.99,"4",IF(AG104&lt;=59.99,"5",IF(AG104&lt;=64.99,"6",IF(AG104&lt;=69.99,"7",IF(AG104&lt;=74.99,"8",IF(AG104&lt;=79.99,"9","10")))))))</f>
        <v>7</v>
      </c>
      <c r="AJ104" s="28">
        <v>4</v>
      </c>
      <c r="AK104" s="29">
        <f>AI104*AJ104</f>
        <v>28</v>
      </c>
      <c r="AL104" s="22">
        <f>'[8]6th Subject'!$C79</f>
        <v>28</v>
      </c>
      <c r="AM104" s="22">
        <f>'[8]6th Subject'!$D79</f>
        <v>37</v>
      </c>
      <c r="AN104" s="27">
        <f>AM104+AL104</f>
        <v>65</v>
      </c>
      <c r="AO104" s="18" t="str">
        <f>IF(AN104&lt;50,"F",IF(AN104&lt;=54.99,"P",IF(AN104&lt;=59.99,"C",IF(AN104&lt;=64.99,"B",IF(AN104&lt;=69.99,"B+",IF(AN104&lt;=74.99,"A",IF(AN104&lt;=79.99,"A+","O")))))))</f>
        <v>B+</v>
      </c>
      <c r="AP104" s="18" t="str">
        <f>IF(AN104&lt;50,"0",IF(AN104&lt;=54.99,"4",IF(AN104&lt;=59.99,"5",IF(AN104&lt;=64.99,"6",IF(AN104&lt;=69.99,"7",IF(AN104&lt;=74.99,"8",IF(AN104&lt;=79.99,"9","10")))))))</f>
        <v>7</v>
      </c>
      <c r="AQ104" s="28">
        <v>4</v>
      </c>
      <c r="AR104" s="29">
        <f>AP104*AQ104</f>
        <v>28</v>
      </c>
      <c r="AS104" s="16">
        <f>'[9]7th Subject'!$C79</f>
        <v>28</v>
      </c>
      <c r="AT104" s="16">
        <f>'[9]7th Subject'!$D79</f>
        <v>37</v>
      </c>
      <c r="AU104" s="27">
        <f>AT104+AS104</f>
        <v>65</v>
      </c>
      <c r="AV104" s="18" t="str">
        <f>IF(AU104&lt;50,"F",IF(AU104&lt;=54.99,"P",IF(AU104&lt;=59.99,"C",IF(AU104&lt;=64.99,"B",IF(AU104&lt;=69.99,"B+",IF(AU104&lt;=74.99,"A",IF(AU104&lt;=79.99,"A+","O")))))))</f>
        <v>B+</v>
      </c>
      <c r="AW104" s="18" t="str">
        <f>IF(AU104&lt;50,"0",IF(AU104&lt;=54.99,"4",IF(AU104&lt;=59.99,"5",IF(AU104&lt;=64.99,"6",IF(AU104&lt;=69.99,"7",IF(AU104&lt;=74.99,"8",IF(AU104&lt;=79.99,"9","10")))))))</f>
        <v>7</v>
      </c>
      <c r="AX104" s="28">
        <v>4</v>
      </c>
      <c r="AY104" s="29">
        <f>AW104*AX104</f>
        <v>28</v>
      </c>
      <c r="AZ104" s="22">
        <f>'[10]8th Subject'!$C79</f>
        <v>28</v>
      </c>
      <c r="BA104" s="22">
        <f>'[10]8th Subject'!$D79</f>
        <v>37</v>
      </c>
      <c r="BB104" s="27">
        <f>BA104+AZ104</f>
        <v>65</v>
      </c>
      <c r="BC104" s="18" t="str">
        <f>IF(BB104&lt;50,"F",IF(BB104&lt;=54.99,"P",IF(BB104&lt;=59.99,"C",IF(BB104&lt;=64.99,"B",IF(BB104&lt;=69.99,"B+",IF(BB104&lt;=74.99,"A",IF(BB104&lt;=79.99,"A+","O")))))))</f>
        <v>B+</v>
      </c>
      <c r="BD104" s="18" t="str">
        <f>IF(BB104&lt;50,"0",IF(BB104&lt;=54.99,"4",IF(BB104&lt;=59.99,"5",IF(BB104&lt;=64.99,"6",IF(BB104&lt;=69.99,"7",IF(BB104&lt;=74.99,"8",IF(BB104&lt;=79.99,"9","10")))))))</f>
        <v>7</v>
      </c>
      <c r="BE104" s="28">
        <v>4</v>
      </c>
      <c r="BF104" s="29">
        <f>BD104*BE104</f>
        <v>28</v>
      </c>
      <c r="BG104" s="27">
        <f>AZ104+AS104+AE104+X104+J104+C104+Q104+AL104</f>
        <v>224</v>
      </c>
      <c r="BH104" s="27">
        <f>BA104+AT104+AF104+Y104+K104+D104+R104+AM104</f>
        <v>296</v>
      </c>
      <c r="BI104" s="27">
        <f>BH104+BG104</f>
        <v>520</v>
      </c>
      <c r="BJ104" s="30">
        <f>G104+N104+U104+AB104+AI104+AP104+BD104+AW104</f>
        <v>56</v>
      </c>
      <c r="BK104" s="30">
        <f>I104+P104+W104+AD104+AK104+AY104+BF104+AR104</f>
        <v>224</v>
      </c>
      <c r="BL104" s="25">
        <f>(BN104-0.75)*10</f>
        <v>62.5</v>
      </c>
      <c r="BM104" s="17" t="str">
        <f>IF(OR(C104&lt;20,D104&lt;30,J104&lt;20,K104&lt;30,Q104&lt;20,R104&lt;30,X104&lt;20,Y104&lt;30,AE104&lt;20,AF104&lt;30,AL104&lt;20,AM104&lt;30,AS104&lt;20,AT104&lt;30,AZ104&lt;20,BA104&lt;30),"Unsuccessful","Successful")</f>
        <v>Successful</v>
      </c>
      <c r="BN104" s="31">
        <f>BK104/32</f>
        <v>7</v>
      </c>
      <c r="BO104" s="18" t="str">
        <f>IF(BN104&lt;=4,"F",IF(BN104&lt;=4.5,"P",IF(BN104&lt;=5.5,"C",IF(BN104&lt;=6.5,"B",IF(BN104&lt;=7.5,"B+",IF(BN104&lt;=8.5,"A",IF(BN104&lt;=9.5,"A+","O")))))))</f>
        <v>B+</v>
      </c>
      <c r="BP104" s="14" t="str">
        <f>IF(BN104&lt;=4,"50",IF(BN104&lt;=4.5,"50-54.99",IF(BN104&lt;=5.5,"55-59.99",IF(BN104&lt;=6.5,"60-64.99",IF(BN104&lt;=7.5,"65-69.99",IF(BN104&lt;=8.5,"70-74.99",IF(BN104&lt;=9.5,"75-79.99","10")))))))</f>
        <v>65-69.99</v>
      </c>
      <c r="BS104">
        <f>RANK(BN104,$BN$3:$BN$135)</f>
        <v>68</v>
      </c>
    </row>
    <row r="105" spans="1:71" x14ac:dyDescent="0.25">
      <c r="A105" s="14" t="str">
        <f>[2]Sheet1!$A89</f>
        <v>MMS18-20/088</v>
      </c>
      <c r="B105" s="15" t="str">
        <f>[2]Sheet1!$B89</f>
        <v>RATHOD OMKAR PANDIT DEVIKA</v>
      </c>
      <c r="C105" s="16">
        <f>'[3]1st Subject'!$C90</f>
        <v>28</v>
      </c>
      <c r="D105" s="16">
        <f>'[3]1st Subject'!$D90</f>
        <v>37</v>
      </c>
      <c r="E105" s="27">
        <f>D105+C105</f>
        <v>65</v>
      </c>
      <c r="F105" s="18" t="str">
        <f>IF(E105&lt;50,"F",IF(E105&lt;=54.99,"P",IF(E105&lt;=59.99,"C",IF(E105&lt;=64.99,"B",IF(E105&lt;=69.99,"B+",IF(E105&lt;=74.99,"A",IF(E105&lt;=79.99,"A+","O")))))))</f>
        <v>B+</v>
      </c>
      <c r="G105" s="18" t="str">
        <f>IF(E105&lt;50,"0",IF(E105&lt;=54.99,"4",IF(E105&lt;=59.99,"5",IF(E105&lt;=64.99,"6",IF(E105&lt;=69.99,"7",IF(E105&lt;=74.99,"8",IF(E105&lt;=79.99,"9","10")))))))</f>
        <v>7</v>
      </c>
      <c r="H105" s="28">
        <v>4</v>
      </c>
      <c r="I105" s="29">
        <f>G105*H105</f>
        <v>28</v>
      </c>
      <c r="J105" s="16">
        <f>'[4]2nd Subject'!$C90</f>
        <v>28</v>
      </c>
      <c r="K105" s="16">
        <f>'[4]2nd Subject'!$D90</f>
        <v>37</v>
      </c>
      <c r="L105" s="27">
        <f>K105+J105</f>
        <v>65</v>
      </c>
      <c r="M105" s="18" t="str">
        <f>IF(L105&lt;50,"F",IF(L105&lt;=54.99,"P",IF(L105&lt;=59.99,"C",IF(L105&lt;=64.99,"B",IF(L105&lt;=69.99,"B+",IF(L105&lt;=74.99,"A",IF(L105&lt;=79.99,"A+","O")))))))</f>
        <v>B+</v>
      </c>
      <c r="N105" s="18" t="str">
        <f>IF(L105&lt;50,"0",IF(L105&lt;=54.99,"4",IF(L105&lt;=59.99,"5",IF(L105&lt;=64.99,"6",IF(L105&lt;=69.99,"7",IF(L105&lt;=74.99,"8",IF(L105&lt;=79.99,"9","10")))))))</f>
        <v>7</v>
      </c>
      <c r="O105" s="28">
        <v>4</v>
      </c>
      <c r="P105" s="29">
        <f>N105*O105</f>
        <v>28</v>
      </c>
      <c r="Q105" s="21">
        <f>'[5]3rd Subject'!$C90</f>
        <v>28</v>
      </c>
      <c r="R105" s="21">
        <f>'[5]3rd Subject'!$D90</f>
        <v>37</v>
      </c>
      <c r="S105" s="27">
        <f>R105+Q105</f>
        <v>65</v>
      </c>
      <c r="T105" s="18" t="str">
        <f>IF(S105&lt;50,"F",IF(S105&lt;=54.99,"P",IF(S105&lt;=59.99,"C",IF(S105&lt;=64.99,"B",IF(S105&lt;=69.99,"B+",IF(S105&lt;=74.99,"A",IF(S105&lt;=79.99,"A+","O")))))))</f>
        <v>B+</v>
      </c>
      <c r="U105" s="18" t="str">
        <f>IF(S105&lt;50,"0",IF(S105&lt;=54.99,"4",IF(S105&lt;=59.99,"5",IF(S105&lt;=64.99,"6",IF(S105&lt;=69.99,"7",IF(S105&lt;=74.99,"8",IF(S105&lt;=79.99,"9","10")))))))</f>
        <v>7</v>
      </c>
      <c r="V105" s="28">
        <v>4</v>
      </c>
      <c r="W105" s="29">
        <f>U105*V105</f>
        <v>28</v>
      </c>
      <c r="X105" s="22">
        <f>'[6]4th Subject'!$C90</f>
        <v>28</v>
      </c>
      <c r="Y105" s="23">
        <f>'[6]4th Subject'!$D90</f>
        <v>37</v>
      </c>
      <c r="Z105" s="27">
        <f>Y105+X105</f>
        <v>65</v>
      </c>
      <c r="AA105" s="18" t="str">
        <f>IF(Z105&lt;50,"F",IF(Z105&lt;=54.99,"P",IF(Z105&lt;=59.99,"C",IF(Z105&lt;=64.99,"B",IF(Z105&lt;=69.99,"B+",IF(Z105&lt;=74.99,"A",IF(Z105&lt;=79.99,"A+","O")))))))</f>
        <v>B+</v>
      </c>
      <c r="AB105" s="18" t="str">
        <f>IF(Z105&lt;50,"0",IF(Z105&lt;=54.99,"4",IF(Z105&lt;=59.99,"5",IF(Z105&lt;=64.99,"6",IF(Z105&lt;=69.99,"7",IF(Z105&lt;=74.99,"8",IF(Z105&lt;=79.99,"9","10")))))))</f>
        <v>7</v>
      </c>
      <c r="AC105" s="28">
        <v>4</v>
      </c>
      <c r="AD105" s="29">
        <f>AB105*AC105</f>
        <v>28</v>
      </c>
      <c r="AE105" s="22">
        <f>'[7]5th Subject'!$C90</f>
        <v>28</v>
      </c>
      <c r="AF105" s="23">
        <f>'[7]5th Subject'!$D90</f>
        <v>37</v>
      </c>
      <c r="AG105" s="27">
        <f>AF105+AE105</f>
        <v>65</v>
      </c>
      <c r="AH105" s="18" t="str">
        <f>IF(AG105&lt;50,"F",IF(AG105&lt;=54.99,"P",IF(AG105&lt;=59.99,"C",IF(AG105&lt;=64.99,"B",IF(AG105&lt;=69.99,"B+",IF(AG105&lt;=74.99,"A",IF(AG105&lt;=79.99,"A+","O")))))))</f>
        <v>B+</v>
      </c>
      <c r="AI105" s="18" t="str">
        <f>IF(AG105&lt;50,"0",IF(AG105&lt;=54.99,"4",IF(AG105&lt;=59.99,"5",IF(AG105&lt;=64.99,"6",IF(AG105&lt;=69.99,"7",IF(AG105&lt;=74.99,"8",IF(AG105&lt;=79.99,"9","10")))))))</f>
        <v>7</v>
      </c>
      <c r="AJ105" s="28">
        <v>4</v>
      </c>
      <c r="AK105" s="29">
        <f>AI105*AJ105</f>
        <v>28</v>
      </c>
      <c r="AL105" s="22">
        <f>'[8]6th Subject'!$C90</f>
        <v>28</v>
      </c>
      <c r="AM105" s="22">
        <f>'[8]6th Subject'!$D90</f>
        <v>37</v>
      </c>
      <c r="AN105" s="27">
        <f>AM105+AL105</f>
        <v>65</v>
      </c>
      <c r="AO105" s="18" t="str">
        <f>IF(AN105&lt;50,"F",IF(AN105&lt;=54.99,"P",IF(AN105&lt;=59.99,"C",IF(AN105&lt;=64.99,"B",IF(AN105&lt;=69.99,"B+",IF(AN105&lt;=74.99,"A",IF(AN105&lt;=79.99,"A+","O")))))))</f>
        <v>B+</v>
      </c>
      <c r="AP105" s="18" t="str">
        <f>IF(AN105&lt;50,"0",IF(AN105&lt;=54.99,"4",IF(AN105&lt;=59.99,"5",IF(AN105&lt;=64.99,"6",IF(AN105&lt;=69.99,"7",IF(AN105&lt;=74.99,"8",IF(AN105&lt;=79.99,"9","10")))))))</f>
        <v>7</v>
      </c>
      <c r="AQ105" s="28">
        <v>4</v>
      </c>
      <c r="AR105" s="29">
        <f>AP105*AQ105</f>
        <v>28</v>
      </c>
      <c r="AS105" s="16">
        <f>'[9]7th Subject'!$C90</f>
        <v>28</v>
      </c>
      <c r="AT105" s="16">
        <f>'[9]7th Subject'!$D90</f>
        <v>37</v>
      </c>
      <c r="AU105" s="27">
        <f>AT105+AS105</f>
        <v>65</v>
      </c>
      <c r="AV105" s="18" t="str">
        <f>IF(AU105&lt;50,"F",IF(AU105&lt;=54.99,"P",IF(AU105&lt;=59.99,"C",IF(AU105&lt;=64.99,"B",IF(AU105&lt;=69.99,"B+",IF(AU105&lt;=74.99,"A",IF(AU105&lt;=79.99,"A+","O")))))))</f>
        <v>B+</v>
      </c>
      <c r="AW105" s="18" t="str">
        <f>IF(AU105&lt;50,"0",IF(AU105&lt;=54.99,"4",IF(AU105&lt;=59.99,"5",IF(AU105&lt;=64.99,"6",IF(AU105&lt;=69.99,"7",IF(AU105&lt;=74.99,"8",IF(AU105&lt;=79.99,"9","10")))))))</f>
        <v>7</v>
      </c>
      <c r="AX105" s="28">
        <v>4</v>
      </c>
      <c r="AY105" s="29">
        <f>AW105*AX105</f>
        <v>28</v>
      </c>
      <c r="AZ105" s="22">
        <f>'[10]8th Subject'!$C90</f>
        <v>28</v>
      </c>
      <c r="BA105" s="22">
        <f>'[10]8th Subject'!$D90</f>
        <v>37</v>
      </c>
      <c r="BB105" s="27">
        <f>BA105+AZ105</f>
        <v>65</v>
      </c>
      <c r="BC105" s="18" t="str">
        <f>IF(BB105&lt;50,"F",IF(BB105&lt;=54.99,"P",IF(BB105&lt;=59.99,"C",IF(BB105&lt;=64.99,"B",IF(BB105&lt;=69.99,"B+",IF(BB105&lt;=74.99,"A",IF(BB105&lt;=79.99,"A+","O")))))))</f>
        <v>B+</v>
      </c>
      <c r="BD105" s="18" t="str">
        <f>IF(BB105&lt;50,"0",IF(BB105&lt;=54.99,"4",IF(BB105&lt;=59.99,"5",IF(BB105&lt;=64.99,"6",IF(BB105&lt;=69.99,"7",IF(BB105&lt;=74.99,"8",IF(BB105&lt;=79.99,"9","10")))))))</f>
        <v>7</v>
      </c>
      <c r="BE105" s="28">
        <v>4</v>
      </c>
      <c r="BF105" s="29">
        <f>BD105*BE105</f>
        <v>28</v>
      </c>
      <c r="BG105" s="27">
        <f>AZ105+AS105+AE105+X105+J105+C105+Q105+AL105</f>
        <v>224</v>
      </c>
      <c r="BH105" s="27">
        <f>BA105+AT105+AF105+Y105+K105+D105+R105+AM105</f>
        <v>296</v>
      </c>
      <c r="BI105" s="27">
        <f>BH105+BG105</f>
        <v>520</v>
      </c>
      <c r="BJ105" s="30">
        <f>G105+N105+U105+AB105+AI105+AP105+BD105+AW105</f>
        <v>56</v>
      </c>
      <c r="BK105" s="30">
        <f>I105+P105+W105+AD105+AK105+AY105+BF105+AR105</f>
        <v>224</v>
      </c>
      <c r="BL105" s="25">
        <f>(BN105-0.75)*10</f>
        <v>62.5</v>
      </c>
      <c r="BM105" s="17" t="str">
        <f>IF(OR(C105&lt;20,D105&lt;30,J105&lt;20,K105&lt;30,Q105&lt;20,R105&lt;30,X105&lt;20,Y105&lt;30,AE105&lt;20,AF105&lt;30,AL105&lt;20,AM105&lt;30,AS105&lt;20,AT105&lt;30,AZ105&lt;20,BA105&lt;30),"Unsuccessful","Successful")</f>
        <v>Successful</v>
      </c>
      <c r="BN105" s="31">
        <f>BK105/32</f>
        <v>7</v>
      </c>
      <c r="BO105" s="18" t="str">
        <f>IF(BN105&lt;=4,"F",IF(BN105&lt;=4.5,"P",IF(BN105&lt;=5.5,"C",IF(BN105&lt;=6.5,"B",IF(BN105&lt;=7.5,"B+",IF(BN105&lt;=8.5,"A",IF(BN105&lt;=9.5,"A+","O")))))))</f>
        <v>B+</v>
      </c>
      <c r="BP105" s="14" t="str">
        <f>IF(BN105&lt;=4,"50",IF(BN105&lt;=4.5,"50-54.99",IF(BN105&lt;=5.5,"55-59.99",IF(BN105&lt;=6.5,"60-64.99",IF(BN105&lt;=7.5,"65-69.99",IF(BN105&lt;=8.5,"70-74.99",IF(BN105&lt;=9.5,"75-79.99","10")))))))</f>
        <v>65-69.99</v>
      </c>
      <c r="BS105">
        <f>RANK(BN105,$BN$3:$BN$135)</f>
        <v>68</v>
      </c>
    </row>
    <row r="106" spans="1:71" x14ac:dyDescent="0.25">
      <c r="A106" s="14" t="str">
        <f>[2]Sheet1!$A100</f>
        <v>MMS18-20/099</v>
      </c>
      <c r="B106" s="15" t="str">
        <f>[2]Sheet1!$B100</f>
        <v>SHINDE SURAJ SHASHIKANT SHOBHA</v>
      </c>
      <c r="C106" s="16">
        <f>'[3]1st Subject'!$C101</f>
        <v>28</v>
      </c>
      <c r="D106" s="16">
        <f>'[3]1st Subject'!$D101</f>
        <v>37</v>
      </c>
      <c r="E106" s="27">
        <f>D106+C106</f>
        <v>65</v>
      </c>
      <c r="F106" s="18" t="str">
        <f>IF(E106&lt;50,"F",IF(E106&lt;=54.99,"P",IF(E106&lt;=59.99,"C",IF(E106&lt;=64.99,"B",IF(E106&lt;=69.99,"B+",IF(E106&lt;=74.99,"A",IF(E106&lt;=79.99,"A+","O")))))))</f>
        <v>B+</v>
      </c>
      <c r="G106" s="18" t="str">
        <f>IF(E106&lt;50,"0",IF(E106&lt;=54.99,"4",IF(E106&lt;=59.99,"5",IF(E106&lt;=64.99,"6",IF(E106&lt;=69.99,"7",IF(E106&lt;=74.99,"8",IF(E106&lt;=79.99,"9","10")))))))</f>
        <v>7</v>
      </c>
      <c r="H106" s="28">
        <v>4</v>
      </c>
      <c r="I106" s="29">
        <f>G106*H106</f>
        <v>28</v>
      </c>
      <c r="J106" s="16">
        <f>'[4]2nd Subject'!$C101</f>
        <v>28</v>
      </c>
      <c r="K106" s="16">
        <f>'[4]2nd Subject'!$D101</f>
        <v>37</v>
      </c>
      <c r="L106" s="27">
        <f>K106+J106</f>
        <v>65</v>
      </c>
      <c r="M106" s="18" t="str">
        <f>IF(L106&lt;50,"F",IF(L106&lt;=54.99,"P",IF(L106&lt;=59.99,"C",IF(L106&lt;=64.99,"B",IF(L106&lt;=69.99,"B+",IF(L106&lt;=74.99,"A",IF(L106&lt;=79.99,"A+","O")))))))</f>
        <v>B+</v>
      </c>
      <c r="N106" s="18" t="str">
        <f>IF(L106&lt;50,"0",IF(L106&lt;=54.99,"4",IF(L106&lt;=59.99,"5",IF(L106&lt;=64.99,"6",IF(L106&lt;=69.99,"7",IF(L106&lt;=74.99,"8",IF(L106&lt;=79.99,"9","10")))))))</f>
        <v>7</v>
      </c>
      <c r="O106" s="28">
        <v>4</v>
      </c>
      <c r="P106" s="29">
        <f>N106*O106</f>
        <v>28</v>
      </c>
      <c r="Q106" s="21">
        <f>'[5]3rd Subject'!$C101</f>
        <v>28</v>
      </c>
      <c r="R106" s="21">
        <f>'[5]3rd Subject'!$D101</f>
        <v>37</v>
      </c>
      <c r="S106" s="27">
        <f>R106+Q106</f>
        <v>65</v>
      </c>
      <c r="T106" s="18" t="str">
        <f>IF(S106&lt;50,"F",IF(S106&lt;=54.99,"P",IF(S106&lt;=59.99,"C",IF(S106&lt;=64.99,"B",IF(S106&lt;=69.99,"B+",IF(S106&lt;=74.99,"A",IF(S106&lt;=79.99,"A+","O")))))))</f>
        <v>B+</v>
      </c>
      <c r="U106" s="18" t="str">
        <f>IF(S106&lt;50,"0",IF(S106&lt;=54.99,"4",IF(S106&lt;=59.99,"5",IF(S106&lt;=64.99,"6",IF(S106&lt;=69.99,"7",IF(S106&lt;=74.99,"8",IF(S106&lt;=79.99,"9","10")))))))</f>
        <v>7</v>
      </c>
      <c r="V106" s="28">
        <v>4</v>
      </c>
      <c r="W106" s="29">
        <f>U106*V106</f>
        <v>28</v>
      </c>
      <c r="X106" s="22">
        <f>'[6]4th Subject'!$C101</f>
        <v>28</v>
      </c>
      <c r="Y106" s="23">
        <f>'[6]4th Subject'!$D101</f>
        <v>37</v>
      </c>
      <c r="Z106" s="27">
        <f>Y106+X106</f>
        <v>65</v>
      </c>
      <c r="AA106" s="18" t="str">
        <f>IF(Z106&lt;50,"F",IF(Z106&lt;=54.99,"P",IF(Z106&lt;=59.99,"C",IF(Z106&lt;=64.99,"B",IF(Z106&lt;=69.99,"B+",IF(Z106&lt;=74.99,"A",IF(Z106&lt;=79.99,"A+","O")))))))</f>
        <v>B+</v>
      </c>
      <c r="AB106" s="18" t="str">
        <f>IF(Z106&lt;50,"0",IF(Z106&lt;=54.99,"4",IF(Z106&lt;=59.99,"5",IF(Z106&lt;=64.99,"6",IF(Z106&lt;=69.99,"7",IF(Z106&lt;=74.99,"8",IF(Z106&lt;=79.99,"9","10")))))))</f>
        <v>7</v>
      </c>
      <c r="AC106" s="28">
        <v>4</v>
      </c>
      <c r="AD106" s="29">
        <f>AB106*AC106</f>
        <v>28</v>
      </c>
      <c r="AE106" s="22">
        <f>'[7]5th Subject'!$C101</f>
        <v>28</v>
      </c>
      <c r="AF106" s="23">
        <f>'[7]5th Subject'!$D101</f>
        <v>37</v>
      </c>
      <c r="AG106" s="27">
        <f>AF106+AE106</f>
        <v>65</v>
      </c>
      <c r="AH106" s="18" t="str">
        <f>IF(AG106&lt;50,"F",IF(AG106&lt;=54.99,"P",IF(AG106&lt;=59.99,"C",IF(AG106&lt;=64.99,"B",IF(AG106&lt;=69.99,"B+",IF(AG106&lt;=74.99,"A",IF(AG106&lt;=79.99,"A+","O")))))))</f>
        <v>B+</v>
      </c>
      <c r="AI106" s="18" t="str">
        <f>IF(AG106&lt;50,"0",IF(AG106&lt;=54.99,"4",IF(AG106&lt;=59.99,"5",IF(AG106&lt;=64.99,"6",IF(AG106&lt;=69.99,"7",IF(AG106&lt;=74.99,"8",IF(AG106&lt;=79.99,"9","10")))))))</f>
        <v>7</v>
      </c>
      <c r="AJ106" s="28">
        <v>4</v>
      </c>
      <c r="AK106" s="29">
        <f>AI106*AJ106</f>
        <v>28</v>
      </c>
      <c r="AL106" s="22">
        <f>'[8]6th Subject'!$C101</f>
        <v>28</v>
      </c>
      <c r="AM106" s="22">
        <f>'[8]6th Subject'!$D101</f>
        <v>37</v>
      </c>
      <c r="AN106" s="27">
        <f>AM106+AL106</f>
        <v>65</v>
      </c>
      <c r="AO106" s="18" t="str">
        <f>IF(AN106&lt;50,"F",IF(AN106&lt;=54.99,"P",IF(AN106&lt;=59.99,"C",IF(AN106&lt;=64.99,"B",IF(AN106&lt;=69.99,"B+",IF(AN106&lt;=74.99,"A",IF(AN106&lt;=79.99,"A+","O")))))))</f>
        <v>B+</v>
      </c>
      <c r="AP106" s="18" t="str">
        <f>IF(AN106&lt;50,"0",IF(AN106&lt;=54.99,"4",IF(AN106&lt;=59.99,"5",IF(AN106&lt;=64.99,"6",IF(AN106&lt;=69.99,"7",IF(AN106&lt;=74.99,"8",IF(AN106&lt;=79.99,"9","10")))))))</f>
        <v>7</v>
      </c>
      <c r="AQ106" s="28">
        <v>4</v>
      </c>
      <c r="AR106" s="29">
        <f>AP106*AQ106</f>
        <v>28</v>
      </c>
      <c r="AS106" s="16">
        <f>'[9]7th Subject'!$C101</f>
        <v>28</v>
      </c>
      <c r="AT106" s="16">
        <f>'[9]7th Subject'!$D101</f>
        <v>37</v>
      </c>
      <c r="AU106" s="27">
        <f>AT106+AS106</f>
        <v>65</v>
      </c>
      <c r="AV106" s="18" t="str">
        <f>IF(AU106&lt;50,"F",IF(AU106&lt;=54.99,"P",IF(AU106&lt;=59.99,"C",IF(AU106&lt;=64.99,"B",IF(AU106&lt;=69.99,"B+",IF(AU106&lt;=74.99,"A",IF(AU106&lt;=79.99,"A+","O")))))))</f>
        <v>B+</v>
      </c>
      <c r="AW106" s="18" t="str">
        <f>IF(AU106&lt;50,"0",IF(AU106&lt;=54.99,"4",IF(AU106&lt;=59.99,"5",IF(AU106&lt;=64.99,"6",IF(AU106&lt;=69.99,"7",IF(AU106&lt;=74.99,"8",IF(AU106&lt;=79.99,"9","10")))))))</f>
        <v>7</v>
      </c>
      <c r="AX106" s="28">
        <v>4</v>
      </c>
      <c r="AY106" s="29">
        <f>AW106*AX106</f>
        <v>28</v>
      </c>
      <c r="AZ106" s="22">
        <f>'[10]8th Subject'!$C101</f>
        <v>28</v>
      </c>
      <c r="BA106" s="22">
        <f>'[10]8th Subject'!$D101</f>
        <v>37</v>
      </c>
      <c r="BB106" s="27">
        <f>BA106+AZ106</f>
        <v>65</v>
      </c>
      <c r="BC106" s="18" t="str">
        <f>IF(BB106&lt;50,"F",IF(BB106&lt;=54.99,"P",IF(BB106&lt;=59.99,"C",IF(BB106&lt;=64.99,"B",IF(BB106&lt;=69.99,"B+",IF(BB106&lt;=74.99,"A",IF(BB106&lt;=79.99,"A+","O")))))))</f>
        <v>B+</v>
      </c>
      <c r="BD106" s="18" t="str">
        <f>IF(BB106&lt;50,"0",IF(BB106&lt;=54.99,"4",IF(BB106&lt;=59.99,"5",IF(BB106&lt;=64.99,"6",IF(BB106&lt;=69.99,"7",IF(BB106&lt;=74.99,"8",IF(BB106&lt;=79.99,"9","10")))))))</f>
        <v>7</v>
      </c>
      <c r="BE106" s="28">
        <v>4</v>
      </c>
      <c r="BF106" s="29">
        <f>BD106*BE106</f>
        <v>28</v>
      </c>
      <c r="BG106" s="27">
        <f>AZ106+AS106+AE106+X106+J106+C106+Q106+AL106</f>
        <v>224</v>
      </c>
      <c r="BH106" s="27">
        <f>BA106+AT106+AF106+Y106+K106+D106+R106+AM106</f>
        <v>296</v>
      </c>
      <c r="BI106" s="27">
        <f>BH106+BG106</f>
        <v>520</v>
      </c>
      <c r="BJ106" s="30">
        <f>G106+N106+U106+AB106+AI106+AP106+BD106+AW106</f>
        <v>56</v>
      </c>
      <c r="BK106" s="30">
        <f>I106+P106+W106+AD106+AK106+AY106+BF106+AR106</f>
        <v>224</v>
      </c>
      <c r="BL106" s="25">
        <f>(BN106-0.75)*10</f>
        <v>62.5</v>
      </c>
      <c r="BM106" s="17" t="str">
        <f>IF(OR(C106&lt;20,D106&lt;30,J106&lt;20,K106&lt;30,Q106&lt;20,R106&lt;30,X106&lt;20,Y106&lt;30,AE106&lt;20,AF106&lt;30,AL106&lt;20,AM106&lt;30,AS106&lt;20,AT106&lt;30,AZ106&lt;20,BA106&lt;30),"Unsuccessful","Successful")</f>
        <v>Successful</v>
      </c>
      <c r="BN106" s="31">
        <f>BK106/32</f>
        <v>7</v>
      </c>
      <c r="BO106" s="18" t="str">
        <f>IF(BN106&lt;=4,"F",IF(BN106&lt;=4.5,"P",IF(BN106&lt;=5.5,"C",IF(BN106&lt;=6.5,"B",IF(BN106&lt;=7.5,"B+",IF(BN106&lt;=8.5,"A",IF(BN106&lt;=9.5,"A+","O")))))))</f>
        <v>B+</v>
      </c>
      <c r="BP106" s="14" t="str">
        <f>IF(BN106&lt;=4,"50",IF(BN106&lt;=4.5,"50-54.99",IF(BN106&lt;=5.5,"55-59.99",IF(BN106&lt;=6.5,"60-64.99",IF(BN106&lt;=7.5,"65-69.99",IF(BN106&lt;=8.5,"70-74.99",IF(BN106&lt;=9.5,"75-79.99","10")))))))</f>
        <v>65-69.99</v>
      </c>
      <c r="BS106">
        <f>RANK(BN106,$BN$3:$BN$135)</f>
        <v>68</v>
      </c>
    </row>
    <row r="107" spans="1:71" x14ac:dyDescent="0.25">
      <c r="A107" s="14" t="str">
        <f>[2]Sheet1!$A111</f>
        <v>MMS18-20/110</v>
      </c>
      <c r="B107" s="15" t="str">
        <f>[2]Sheet1!$B111</f>
        <v>THOOLKAR SAMEER ARVIND KIRAN</v>
      </c>
      <c r="C107" s="16">
        <f>'[3]1st Subject'!$C112</f>
        <v>28</v>
      </c>
      <c r="D107" s="16">
        <f>'[3]1st Subject'!$D112</f>
        <v>37</v>
      </c>
      <c r="E107" s="27">
        <f>D107+C107</f>
        <v>65</v>
      </c>
      <c r="F107" s="18" t="str">
        <f>IF(E107&lt;50,"F",IF(E107&lt;=54.99,"P",IF(E107&lt;=59.99,"C",IF(E107&lt;=64.99,"B",IF(E107&lt;=69.99,"B+",IF(E107&lt;=74.99,"A",IF(E107&lt;=79.99,"A+","O")))))))</f>
        <v>B+</v>
      </c>
      <c r="G107" s="18" t="str">
        <f>IF(E107&lt;50,"0",IF(E107&lt;=54.99,"4",IF(E107&lt;=59.99,"5",IF(E107&lt;=64.99,"6",IF(E107&lt;=69.99,"7",IF(E107&lt;=74.99,"8",IF(E107&lt;=79.99,"9","10")))))))</f>
        <v>7</v>
      </c>
      <c r="H107" s="28">
        <v>4</v>
      </c>
      <c r="I107" s="29">
        <f>G107*H107</f>
        <v>28</v>
      </c>
      <c r="J107" s="16">
        <f>'[4]2nd Subject'!$C112</f>
        <v>28</v>
      </c>
      <c r="K107" s="16">
        <f>'[4]2nd Subject'!$D112</f>
        <v>37</v>
      </c>
      <c r="L107" s="27">
        <f>K107+J107</f>
        <v>65</v>
      </c>
      <c r="M107" s="18" t="str">
        <f>IF(L107&lt;50,"F",IF(L107&lt;=54.99,"P",IF(L107&lt;=59.99,"C",IF(L107&lt;=64.99,"B",IF(L107&lt;=69.99,"B+",IF(L107&lt;=74.99,"A",IF(L107&lt;=79.99,"A+","O")))))))</f>
        <v>B+</v>
      </c>
      <c r="N107" s="18" t="str">
        <f>IF(L107&lt;50,"0",IF(L107&lt;=54.99,"4",IF(L107&lt;=59.99,"5",IF(L107&lt;=64.99,"6",IF(L107&lt;=69.99,"7",IF(L107&lt;=74.99,"8",IF(L107&lt;=79.99,"9","10")))))))</f>
        <v>7</v>
      </c>
      <c r="O107" s="28">
        <v>4</v>
      </c>
      <c r="P107" s="29">
        <f>N107*O107</f>
        <v>28</v>
      </c>
      <c r="Q107" s="21">
        <f>'[5]3rd Subject'!$C112</f>
        <v>28</v>
      </c>
      <c r="R107" s="21">
        <f>'[5]3rd Subject'!$D112</f>
        <v>37</v>
      </c>
      <c r="S107" s="27">
        <f>R107+Q107</f>
        <v>65</v>
      </c>
      <c r="T107" s="18" t="str">
        <f>IF(S107&lt;50,"F",IF(S107&lt;=54.99,"P",IF(S107&lt;=59.99,"C",IF(S107&lt;=64.99,"B",IF(S107&lt;=69.99,"B+",IF(S107&lt;=74.99,"A",IF(S107&lt;=79.99,"A+","O")))))))</f>
        <v>B+</v>
      </c>
      <c r="U107" s="18" t="str">
        <f>IF(S107&lt;50,"0",IF(S107&lt;=54.99,"4",IF(S107&lt;=59.99,"5",IF(S107&lt;=64.99,"6",IF(S107&lt;=69.99,"7",IF(S107&lt;=74.99,"8",IF(S107&lt;=79.99,"9","10")))))))</f>
        <v>7</v>
      </c>
      <c r="V107" s="28">
        <v>4</v>
      </c>
      <c r="W107" s="29">
        <f>U107*V107</f>
        <v>28</v>
      </c>
      <c r="X107" s="22">
        <f>'[6]4th Subject'!$C112</f>
        <v>28</v>
      </c>
      <c r="Y107" s="23">
        <f>'[6]4th Subject'!$D112</f>
        <v>37</v>
      </c>
      <c r="Z107" s="27">
        <f>Y107+X107</f>
        <v>65</v>
      </c>
      <c r="AA107" s="18" t="str">
        <f>IF(Z107&lt;50,"F",IF(Z107&lt;=54.99,"P",IF(Z107&lt;=59.99,"C",IF(Z107&lt;=64.99,"B",IF(Z107&lt;=69.99,"B+",IF(Z107&lt;=74.99,"A",IF(Z107&lt;=79.99,"A+","O")))))))</f>
        <v>B+</v>
      </c>
      <c r="AB107" s="18" t="str">
        <f>IF(Z107&lt;50,"0",IF(Z107&lt;=54.99,"4",IF(Z107&lt;=59.99,"5",IF(Z107&lt;=64.99,"6",IF(Z107&lt;=69.99,"7",IF(Z107&lt;=74.99,"8",IF(Z107&lt;=79.99,"9","10")))))))</f>
        <v>7</v>
      </c>
      <c r="AC107" s="28">
        <v>4</v>
      </c>
      <c r="AD107" s="29">
        <f>AB107*AC107</f>
        <v>28</v>
      </c>
      <c r="AE107" s="22">
        <f>'[7]5th Subject'!$C112</f>
        <v>28</v>
      </c>
      <c r="AF107" s="23">
        <f>'[7]5th Subject'!$D112</f>
        <v>37</v>
      </c>
      <c r="AG107" s="27">
        <f>AF107+AE107</f>
        <v>65</v>
      </c>
      <c r="AH107" s="18" t="str">
        <f>IF(AG107&lt;50,"F",IF(AG107&lt;=54.99,"P",IF(AG107&lt;=59.99,"C",IF(AG107&lt;=64.99,"B",IF(AG107&lt;=69.99,"B+",IF(AG107&lt;=74.99,"A",IF(AG107&lt;=79.99,"A+","O")))))))</f>
        <v>B+</v>
      </c>
      <c r="AI107" s="18" t="str">
        <f>IF(AG107&lt;50,"0",IF(AG107&lt;=54.99,"4",IF(AG107&lt;=59.99,"5",IF(AG107&lt;=64.99,"6",IF(AG107&lt;=69.99,"7",IF(AG107&lt;=74.99,"8",IF(AG107&lt;=79.99,"9","10")))))))</f>
        <v>7</v>
      </c>
      <c r="AJ107" s="28">
        <v>4</v>
      </c>
      <c r="AK107" s="29">
        <f>AI107*AJ107</f>
        <v>28</v>
      </c>
      <c r="AL107" s="22">
        <f>'[8]6th Subject'!$C112</f>
        <v>28</v>
      </c>
      <c r="AM107" s="22">
        <f>'[8]6th Subject'!$D112</f>
        <v>37</v>
      </c>
      <c r="AN107" s="27">
        <f>AM107+AL107</f>
        <v>65</v>
      </c>
      <c r="AO107" s="18" t="str">
        <f>IF(AN107&lt;50,"F",IF(AN107&lt;=54.99,"P",IF(AN107&lt;=59.99,"C",IF(AN107&lt;=64.99,"B",IF(AN107&lt;=69.99,"B+",IF(AN107&lt;=74.99,"A",IF(AN107&lt;=79.99,"A+","O")))))))</f>
        <v>B+</v>
      </c>
      <c r="AP107" s="18" t="str">
        <f>IF(AN107&lt;50,"0",IF(AN107&lt;=54.99,"4",IF(AN107&lt;=59.99,"5",IF(AN107&lt;=64.99,"6",IF(AN107&lt;=69.99,"7",IF(AN107&lt;=74.99,"8",IF(AN107&lt;=79.99,"9","10")))))))</f>
        <v>7</v>
      </c>
      <c r="AQ107" s="28">
        <v>4</v>
      </c>
      <c r="AR107" s="29">
        <f>AP107*AQ107</f>
        <v>28</v>
      </c>
      <c r="AS107" s="16">
        <f>'[9]7th Subject'!$C112</f>
        <v>28</v>
      </c>
      <c r="AT107" s="16">
        <f>'[9]7th Subject'!$D112</f>
        <v>37</v>
      </c>
      <c r="AU107" s="27">
        <f>AT107+AS107</f>
        <v>65</v>
      </c>
      <c r="AV107" s="18" t="str">
        <f>IF(AU107&lt;50,"F",IF(AU107&lt;=54.99,"P",IF(AU107&lt;=59.99,"C",IF(AU107&lt;=64.99,"B",IF(AU107&lt;=69.99,"B+",IF(AU107&lt;=74.99,"A",IF(AU107&lt;=79.99,"A+","O")))))))</f>
        <v>B+</v>
      </c>
      <c r="AW107" s="18" t="str">
        <f>IF(AU107&lt;50,"0",IF(AU107&lt;=54.99,"4",IF(AU107&lt;=59.99,"5",IF(AU107&lt;=64.99,"6",IF(AU107&lt;=69.99,"7",IF(AU107&lt;=74.99,"8",IF(AU107&lt;=79.99,"9","10")))))))</f>
        <v>7</v>
      </c>
      <c r="AX107" s="28">
        <v>4</v>
      </c>
      <c r="AY107" s="29">
        <f>AW107*AX107</f>
        <v>28</v>
      </c>
      <c r="AZ107" s="22">
        <f>'[10]8th Subject'!$C112</f>
        <v>28</v>
      </c>
      <c r="BA107" s="22">
        <f>'[10]8th Subject'!$D112</f>
        <v>37</v>
      </c>
      <c r="BB107" s="27">
        <f>BA107+AZ107</f>
        <v>65</v>
      </c>
      <c r="BC107" s="18" t="str">
        <f>IF(BB107&lt;50,"F",IF(BB107&lt;=54.99,"P",IF(BB107&lt;=59.99,"C",IF(BB107&lt;=64.99,"B",IF(BB107&lt;=69.99,"B+",IF(BB107&lt;=74.99,"A",IF(BB107&lt;=79.99,"A+","O")))))))</f>
        <v>B+</v>
      </c>
      <c r="BD107" s="18" t="str">
        <f>IF(BB107&lt;50,"0",IF(BB107&lt;=54.99,"4",IF(BB107&lt;=59.99,"5",IF(BB107&lt;=64.99,"6",IF(BB107&lt;=69.99,"7",IF(BB107&lt;=74.99,"8",IF(BB107&lt;=79.99,"9","10")))))))</f>
        <v>7</v>
      </c>
      <c r="BE107" s="28">
        <v>4</v>
      </c>
      <c r="BF107" s="29">
        <f>BD107*BE107</f>
        <v>28</v>
      </c>
      <c r="BG107" s="27">
        <f>AZ107+AS107+AE107+X107+J107+C107+Q107+AL107</f>
        <v>224</v>
      </c>
      <c r="BH107" s="27">
        <f>BA107+AT107+AF107+Y107+K107+D107+R107+AM107</f>
        <v>296</v>
      </c>
      <c r="BI107" s="27">
        <f>BH107+BG107</f>
        <v>520</v>
      </c>
      <c r="BJ107" s="30">
        <f>G107+N107+U107+AB107+AI107+AP107+BD107+AW107</f>
        <v>56</v>
      </c>
      <c r="BK107" s="30">
        <f>I107+P107+W107+AD107+AK107+AY107+BF107+AR107</f>
        <v>224</v>
      </c>
      <c r="BL107" s="25">
        <f>(BN107-0.75)*10</f>
        <v>62.5</v>
      </c>
      <c r="BM107" s="17" t="str">
        <f>IF(OR(C107&lt;20,D107&lt;30,J107&lt;20,K107&lt;30,Q107&lt;20,R107&lt;30,X107&lt;20,Y107&lt;30,AE107&lt;20,AF107&lt;30,AL107&lt;20,AM107&lt;30,AS107&lt;20,AT107&lt;30,AZ107&lt;20,BA107&lt;30),"Unsuccessful","Successful")</f>
        <v>Successful</v>
      </c>
      <c r="BN107" s="31">
        <f>BK107/32</f>
        <v>7</v>
      </c>
      <c r="BO107" s="18" t="str">
        <f>IF(BN107&lt;=4,"F",IF(BN107&lt;=4.5,"P",IF(BN107&lt;=5.5,"C",IF(BN107&lt;=6.5,"B",IF(BN107&lt;=7.5,"B+",IF(BN107&lt;=8.5,"A",IF(BN107&lt;=9.5,"A+","O")))))))</f>
        <v>B+</v>
      </c>
      <c r="BP107" s="14" t="str">
        <f>IF(BN107&lt;=4,"50",IF(BN107&lt;=4.5,"50-54.99",IF(BN107&lt;=5.5,"55-59.99",IF(BN107&lt;=6.5,"60-64.99",IF(BN107&lt;=7.5,"65-69.99",IF(BN107&lt;=8.5,"70-74.99",IF(BN107&lt;=9.5,"75-79.99","10")))))))</f>
        <v>65-69.99</v>
      </c>
      <c r="BS107">
        <f>RANK(BN107,$BN$3:$BN$135)</f>
        <v>68</v>
      </c>
    </row>
    <row r="108" spans="1:71" x14ac:dyDescent="0.25">
      <c r="A108" s="14" t="str">
        <f>[2]Sheet1!$A120</f>
        <v>MMS18-20/119</v>
      </c>
      <c r="B108" s="15" t="str">
        <f>[2]Sheet1!$B120</f>
        <v>/YADAV SUMAN RAMJEET SAVITRIDEVI</v>
      </c>
      <c r="C108" s="16">
        <f>'[3]1st Subject'!$C121</f>
        <v>27</v>
      </c>
      <c r="D108" s="16">
        <f>'[3]1st Subject'!$D121</f>
        <v>36</v>
      </c>
      <c r="E108" s="27">
        <f>D108+C108</f>
        <v>63</v>
      </c>
      <c r="F108" s="18" t="str">
        <f>IF(E108&lt;50,"F",IF(E108&lt;=54.99,"P",IF(E108&lt;=59.99,"C",IF(E108&lt;=64.99,"B",IF(E108&lt;=69.99,"B+",IF(E108&lt;=74.99,"A",IF(E108&lt;=79.99,"A+","O")))))))</f>
        <v>B</v>
      </c>
      <c r="G108" s="18" t="str">
        <f>IF(E108&lt;50,"0",IF(E108&lt;=54.99,"4",IF(E108&lt;=59.99,"5",IF(E108&lt;=64.99,"6",IF(E108&lt;=69.99,"7",IF(E108&lt;=74.99,"8",IF(E108&lt;=79.99,"9","10")))))))</f>
        <v>6</v>
      </c>
      <c r="H108" s="28">
        <v>4</v>
      </c>
      <c r="I108" s="29">
        <f>G108*H108</f>
        <v>24</v>
      </c>
      <c r="J108" s="16">
        <f>'[4]2nd Subject'!$C121</f>
        <v>27</v>
      </c>
      <c r="K108" s="16">
        <f>'[4]2nd Subject'!$D121</f>
        <v>40</v>
      </c>
      <c r="L108" s="27">
        <f>K108+J108</f>
        <v>67</v>
      </c>
      <c r="M108" s="18" t="str">
        <f>IF(L108&lt;50,"F",IF(L108&lt;=54.99,"P",IF(L108&lt;=59.99,"C",IF(L108&lt;=64.99,"B",IF(L108&lt;=69.99,"B+",IF(L108&lt;=74.99,"A",IF(L108&lt;=79.99,"A+","O")))))))</f>
        <v>B+</v>
      </c>
      <c r="N108" s="18" t="str">
        <f>IF(L108&lt;50,"0",IF(L108&lt;=54.99,"4",IF(L108&lt;=59.99,"5",IF(L108&lt;=64.99,"6",IF(L108&lt;=69.99,"7",IF(L108&lt;=74.99,"8",IF(L108&lt;=79.99,"9","10")))))))</f>
        <v>7</v>
      </c>
      <c r="O108" s="28">
        <v>4</v>
      </c>
      <c r="P108" s="29">
        <f>N108*O108</f>
        <v>28</v>
      </c>
      <c r="Q108" s="21">
        <f>'[5]3rd Subject'!$C121</f>
        <v>27</v>
      </c>
      <c r="R108" s="21">
        <f>'[5]3rd Subject'!$D121</f>
        <v>40</v>
      </c>
      <c r="S108" s="27">
        <f>R108+Q108</f>
        <v>67</v>
      </c>
      <c r="T108" s="18" t="str">
        <f>IF(S108&lt;50,"F",IF(S108&lt;=54.99,"P",IF(S108&lt;=59.99,"C",IF(S108&lt;=64.99,"B",IF(S108&lt;=69.99,"B+",IF(S108&lt;=74.99,"A",IF(S108&lt;=79.99,"A+","O")))))))</f>
        <v>B+</v>
      </c>
      <c r="U108" s="18" t="str">
        <f>IF(S108&lt;50,"0",IF(S108&lt;=54.99,"4",IF(S108&lt;=59.99,"5",IF(S108&lt;=64.99,"6",IF(S108&lt;=69.99,"7",IF(S108&lt;=74.99,"8",IF(S108&lt;=79.99,"9","10")))))))</f>
        <v>7</v>
      </c>
      <c r="V108" s="28">
        <v>4</v>
      </c>
      <c r="W108" s="29">
        <f>U108*V108</f>
        <v>28</v>
      </c>
      <c r="X108" s="22">
        <f>'[6]4th Subject'!$C121</f>
        <v>27</v>
      </c>
      <c r="Y108" s="23">
        <f>'[6]4th Subject'!$D121</f>
        <v>40</v>
      </c>
      <c r="Z108" s="27">
        <f>Y108+X108</f>
        <v>67</v>
      </c>
      <c r="AA108" s="18" t="str">
        <f>IF(Z108&lt;50,"F",IF(Z108&lt;=54.99,"P",IF(Z108&lt;=59.99,"C",IF(Z108&lt;=64.99,"B",IF(Z108&lt;=69.99,"B+",IF(Z108&lt;=74.99,"A",IF(Z108&lt;=79.99,"A+","O")))))))</f>
        <v>B+</v>
      </c>
      <c r="AB108" s="18" t="str">
        <f>IF(Z108&lt;50,"0",IF(Z108&lt;=54.99,"4",IF(Z108&lt;=59.99,"5",IF(Z108&lt;=64.99,"6",IF(Z108&lt;=69.99,"7",IF(Z108&lt;=74.99,"8",IF(Z108&lt;=79.99,"9","10")))))))</f>
        <v>7</v>
      </c>
      <c r="AC108" s="28">
        <v>4</v>
      </c>
      <c r="AD108" s="29">
        <f>AB108*AC108</f>
        <v>28</v>
      </c>
      <c r="AE108" s="22">
        <f>'[7]5th Subject'!$C121</f>
        <v>27</v>
      </c>
      <c r="AF108" s="23">
        <f>'[7]5th Subject'!$D121</f>
        <v>40</v>
      </c>
      <c r="AG108" s="27">
        <f>AF108+AE108</f>
        <v>67</v>
      </c>
      <c r="AH108" s="18" t="str">
        <f>IF(AG108&lt;50,"F",IF(AG108&lt;=54.99,"P",IF(AG108&lt;=59.99,"C",IF(AG108&lt;=64.99,"B",IF(AG108&lt;=69.99,"B+",IF(AG108&lt;=74.99,"A",IF(AG108&lt;=79.99,"A+","O")))))))</f>
        <v>B+</v>
      </c>
      <c r="AI108" s="18" t="str">
        <f>IF(AG108&lt;50,"0",IF(AG108&lt;=54.99,"4",IF(AG108&lt;=59.99,"5",IF(AG108&lt;=64.99,"6",IF(AG108&lt;=69.99,"7",IF(AG108&lt;=74.99,"8",IF(AG108&lt;=79.99,"9","10")))))))</f>
        <v>7</v>
      </c>
      <c r="AJ108" s="28">
        <v>4</v>
      </c>
      <c r="AK108" s="29">
        <f>AI108*AJ108</f>
        <v>28</v>
      </c>
      <c r="AL108" s="22">
        <f>'[8]6th Subject'!$C121</f>
        <v>27</v>
      </c>
      <c r="AM108" s="22">
        <f>'[8]6th Subject'!$D121</f>
        <v>40</v>
      </c>
      <c r="AN108" s="27">
        <f>AM108+AL108</f>
        <v>67</v>
      </c>
      <c r="AO108" s="18" t="str">
        <f>IF(AN108&lt;50,"F",IF(AN108&lt;=54.99,"P",IF(AN108&lt;=59.99,"C",IF(AN108&lt;=64.99,"B",IF(AN108&lt;=69.99,"B+",IF(AN108&lt;=74.99,"A",IF(AN108&lt;=79.99,"A+","O")))))))</f>
        <v>B+</v>
      </c>
      <c r="AP108" s="18" t="str">
        <f>IF(AN108&lt;50,"0",IF(AN108&lt;=54.99,"4",IF(AN108&lt;=59.99,"5",IF(AN108&lt;=64.99,"6",IF(AN108&lt;=69.99,"7",IF(AN108&lt;=74.99,"8",IF(AN108&lt;=79.99,"9","10")))))))</f>
        <v>7</v>
      </c>
      <c r="AQ108" s="28">
        <v>4</v>
      </c>
      <c r="AR108" s="29">
        <f>AP108*AQ108</f>
        <v>28</v>
      </c>
      <c r="AS108" s="16">
        <f>'[9]7th Subject'!$C121</f>
        <v>27</v>
      </c>
      <c r="AT108" s="16">
        <f>'[9]7th Subject'!$D121</f>
        <v>40</v>
      </c>
      <c r="AU108" s="27">
        <f>AT108+AS108</f>
        <v>67</v>
      </c>
      <c r="AV108" s="18" t="str">
        <f>IF(AU108&lt;50,"F",IF(AU108&lt;=54.99,"P",IF(AU108&lt;=59.99,"C",IF(AU108&lt;=64.99,"B",IF(AU108&lt;=69.99,"B+",IF(AU108&lt;=74.99,"A",IF(AU108&lt;=79.99,"A+","O")))))))</f>
        <v>B+</v>
      </c>
      <c r="AW108" s="18" t="str">
        <f>IF(AU108&lt;50,"0",IF(AU108&lt;=54.99,"4",IF(AU108&lt;=59.99,"5",IF(AU108&lt;=64.99,"6",IF(AU108&lt;=69.99,"7",IF(AU108&lt;=74.99,"8",IF(AU108&lt;=79.99,"9","10")))))))</f>
        <v>7</v>
      </c>
      <c r="AX108" s="28">
        <v>4</v>
      </c>
      <c r="AY108" s="29">
        <f>AW108*AX108</f>
        <v>28</v>
      </c>
      <c r="AZ108" s="22">
        <f>'[10]8th Subject'!$C121</f>
        <v>27</v>
      </c>
      <c r="BA108" s="22">
        <f>'[10]8th Subject'!$D121</f>
        <v>40</v>
      </c>
      <c r="BB108" s="27">
        <f>BA108+AZ108</f>
        <v>67</v>
      </c>
      <c r="BC108" s="18" t="str">
        <f>IF(BB108&lt;50,"F",IF(BB108&lt;=54.99,"P",IF(BB108&lt;=59.99,"C",IF(BB108&lt;=64.99,"B",IF(BB108&lt;=69.99,"B+",IF(BB108&lt;=74.99,"A",IF(BB108&lt;=79.99,"A+","O")))))))</f>
        <v>B+</v>
      </c>
      <c r="BD108" s="18" t="str">
        <f>IF(BB108&lt;50,"0",IF(BB108&lt;=54.99,"4",IF(BB108&lt;=59.99,"5",IF(BB108&lt;=64.99,"6",IF(BB108&lt;=69.99,"7",IF(BB108&lt;=74.99,"8",IF(BB108&lt;=79.99,"9","10")))))))</f>
        <v>7</v>
      </c>
      <c r="BE108" s="28">
        <v>4</v>
      </c>
      <c r="BF108" s="29">
        <f>BD108*BE108</f>
        <v>28</v>
      </c>
      <c r="BG108" s="27">
        <f>AZ108+AS108+AE108+X108+J108+C108+Q108+AL108</f>
        <v>216</v>
      </c>
      <c r="BH108" s="27">
        <f>BA108+AT108+AF108+Y108+K108+D108+R108+AM108</f>
        <v>316</v>
      </c>
      <c r="BI108" s="27">
        <f>BH108+BG108</f>
        <v>532</v>
      </c>
      <c r="BJ108" s="30">
        <f>G108+N108+U108+AB108+AI108+AP108+BD108+AW108</f>
        <v>55</v>
      </c>
      <c r="BK108" s="30">
        <f>I108+P108+W108+AD108+AK108+AY108+BF108+AR108</f>
        <v>220</v>
      </c>
      <c r="BL108" s="25">
        <f>(BN108-0.75)*10</f>
        <v>61.25</v>
      </c>
      <c r="BM108" s="17" t="str">
        <f>IF(OR(C108&lt;20,D108&lt;30,J108&lt;20,K108&lt;30,Q108&lt;20,R108&lt;30,X108&lt;20,Y108&lt;30,AE108&lt;20,AF108&lt;30,AL108&lt;20,AM108&lt;30,AS108&lt;20,AT108&lt;30,AZ108&lt;20,BA108&lt;30),"Unsuccessful","Successful")</f>
        <v>Successful</v>
      </c>
      <c r="BN108" s="31">
        <f>BK108/32</f>
        <v>6.875</v>
      </c>
      <c r="BO108" s="18" t="str">
        <f>IF(BN108&lt;=4,"F",IF(BN108&lt;=4.5,"P",IF(BN108&lt;=5.5,"C",IF(BN108&lt;=6.5,"B",IF(BN108&lt;=7.5,"B+",IF(BN108&lt;=8.5,"A",IF(BN108&lt;=9.5,"A+","O")))))))</f>
        <v>B+</v>
      </c>
      <c r="BP108" s="14" t="str">
        <f>IF(BN108&lt;=4,"50",IF(BN108&lt;=4.5,"50-54.99",IF(BN108&lt;=5.5,"55-59.99",IF(BN108&lt;=6.5,"60-64.99",IF(BN108&lt;=7.5,"65-69.99",IF(BN108&lt;=8.5,"70-74.99",IF(BN108&lt;=9.5,"75-79.99","10")))))))</f>
        <v>65-69.99</v>
      </c>
      <c r="BS108">
        <f>RANK(BN108,$BN$3:$BN$135)</f>
        <v>106</v>
      </c>
    </row>
    <row r="109" spans="1:71" x14ac:dyDescent="0.25">
      <c r="A109" s="14" t="str">
        <f>[2]Sheet1!$A14</f>
        <v>MMS18-20/013</v>
      </c>
      <c r="B109" s="15" t="str">
        <f>[2]Sheet1!$B14</f>
        <v>BHOIR VINAYAK CHINTAMAN SHALINI</v>
      </c>
      <c r="C109" s="16">
        <f>'[3]1st Subject'!$C15</f>
        <v>25</v>
      </c>
      <c r="D109" s="16">
        <f>'[3]1st Subject'!$D15</f>
        <v>35</v>
      </c>
      <c r="E109" s="27">
        <f>D109+C109</f>
        <v>60</v>
      </c>
      <c r="F109" s="18" t="str">
        <f>IF(E109&lt;50,"F",IF(E109&lt;=54.99,"P",IF(E109&lt;=59.99,"C",IF(E109&lt;=64.99,"B",IF(E109&lt;=69.99,"B+",IF(E109&lt;=74.99,"A",IF(E109&lt;=79.99,"A+","O")))))))</f>
        <v>B</v>
      </c>
      <c r="G109" s="18" t="str">
        <f>IF(E109&lt;50,"0",IF(E109&lt;=54.99,"4",IF(E109&lt;=59.99,"5",IF(E109&lt;=64.99,"6",IF(E109&lt;=69.99,"7",IF(E109&lt;=74.99,"8",IF(E109&lt;=79.99,"9","10")))))))</f>
        <v>6</v>
      </c>
      <c r="H109" s="28">
        <v>4</v>
      </c>
      <c r="I109" s="29">
        <f>G109*H109</f>
        <v>24</v>
      </c>
      <c r="J109" s="16">
        <f>'[4]2nd Subject'!$C15</f>
        <v>25</v>
      </c>
      <c r="K109" s="16">
        <f>'[4]2nd Subject'!$D15</f>
        <v>35</v>
      </c>
      <c r="L109" s="27">
        <f>K109+J109</f>
        <v>60</v>
      </c>
      <c r="M109" s="18" t="str">
        <f>IF(L109&lt;50,"F",IF(L109&lt;=54.99,"P",IF(L109&lt;=59.99,"C",IF(L109&lt;=64.99,"B",IF(L109&lt;=69.99,"B+",IF(L109&lt;=74.99,"A",IF(L109&lt;=79.99,"A+","O")))))))</f>
        <v>B</v>
      </c>
      <c r="N109" s="18" t="str">
        <f>IF(L109&lt;50,"0",IF(L109&lt;=54.99,"4",IF(L109&lt;=59.99,"5",IF(L109&lt;=64.99,"6",IF(L109&lt;=69.99,"7",IF(L109&lt;=74.99,"8",IF(L109&lt;=79.99,"9","10")))))))</f>
        <v>6</v>
      </c>
      <c r="O109" s="28">
        <v>4</v>
      </c>
      <c r="P109" s="29">
        <f>N109*O109</f>
        <v>24</v>
      </c>
      <c r="Q109" s="21">
        <f>'[5]3rd Subject'!$C15</f>
        <v>25</v>
      </c>
      <c r="R109" s="21">
        <f>'[5]3rd Subject'!$D15</f>
        <v>35</v>
      </c>
      <c r="S109" s="27">
        <f>R109+Q109</f>
        <v>60</v>
      </c>
      <c r="T109" s="18" t="str">
        <f>IF(S109&lt;50,"F",IF(S109&lt;=54.99,"P",IF(S109&lt;=59.99,"C",IF(S109&lt;=64.99,"B",IF(S109&lt;=69.99,"B+",IF(S109&lt;=74.99,"A",IF(S109&lt;=79.99,"A+","O")))))))</f>
        <v>B</v>
      </c>
      <c r="U109" s="18" t="str">
        <f>IF(S109&lt;50,"0",IF(S109&lt;=54.99,"4",IF(S109&lt;=59.99,"5",IF(S109&lt;=64.99,"6",IF(S109&lt;=69.99,"7",IF(S109&lt;=74.99,"8",IF(S109&lt;=79.99,"9","10")))))))</f>
        <v>6</v>
      </c>
      <c r="V109" s="28">
        <v>4</v>
      </c>
      <c r="W109" s="29">
        <f>U109*V109</f>
        <v>24</v>
      </c>
      <c r="X109" s="22">
        <f>'[6]4th Subject'!$C15</f>
        <v>25</v>
      </c>
      <c r="Y109" s="23">
        <f>'[6]4th Subject'!$D15</f>
        <v>35</v>
      </c>
      <c r="Z109" s="27">
        <f>Y109+X109</f>
        <v>60</v>
      </c>
      <c r="AA109" s="18" t="str">
        <f>IF(Z109&lt;50,"F",IF(Z109&lt;=54.99,"P",IF(Z109&lt;=59.99,"C",IF(Z109&lt;=64.99,"B",IF(Z109&lt;=69.99,"B+",IF(Z109&lt;=74.99,"A",IF(Z109&lt;=79.99,"A+","O")))))))</f>
        <v>B</v>
      </c>
      <c r="AB109" s="18" t="str">
        <f>IF(Z109&lt;50,"0",IF(Z109&lt;=54.99,"4",IF(Z109&lt;=59.99,"5",IF(Z109&lt;=64.99,"6",IF(Z109&lt;=69.99,"7",IF(Z109&lt;=74.99,"8",IF(Z109&lt;=79.99,"9","10")))))))</f>
        <v>6</v>
      </c>
      <c r="AC109" s="28">
        <v>4</v>
      </c>
      <c r="AD109" s="29">
        <f>AB109*AC109</f>
        <v>24</v>
      </c>
      <c r="AE109" s="22">
        <f>'[7]5th Subject'!$C15</f>
        <v>25</v>
      </c>
      <c r="AF109" s="23">
        <f>'[7]5th Subject'!$D15</f>
        <v>35</v>
      </c>
      <c r="AG109" s="27">
        <f>AF109+AE109</f>
        <v>60</v>
      </c>
      <c r="AH109" s="18" t="str">
        <f>IF(AG109&lt;50,"F",IF(AG109&lt;=54.99,"P",IF(AG109&lt;=59.99,"C",IF(AG109&lt;=64.99,"B",IF(AG109&lt;=69.99,"B+",IF(AG109&lt;=74.99,"A",IF(AG109&lt;=79.99,"A+","O")))))))</f>
        <v>B</v>
      </c>
      <c r="AI109" s="18" t="str">
        <f>IF(AG109&lt;50,"0",IF(AG109&lt;=54.99,"4",IF(AG109&lt;=59.99,"5",IF(AG109&lt;=64.99,"6",IF(AG109&lt;=69.99,"7",IF(AG109&lt;=74.99,"8",IF(AG109&lt;=79.99,"9","10")))))))</f>
        <v>6</v>
      </c>
      <c r="AJ109" s="28">
        <v>4</v>
      </c>
      <c r="AK109" s="29">
        <f>AI109*AJ109</f>
        <v>24</v>
      </c>
      <c r="AL109" s="22">
        <f>'[8]6th Subject'!$C15</f>
        <v>25</v>
      </c>
      <c r="AM109" s="22">
        <f>'[8]6th Subject'!$D15</f>
        <v>35</v>
      </c>
      <c r="AN109" s="27">
        <f>AM109+AL109</f>
        <v>60</v>
      </c>
      <c r="AO109" s="18" t="str">
        <f>IF(AN109&lt;50,"F",IF(AN109&lt;=54.99,"P",IF(AN109&lt;=59.99,"C",IF(AN109&lt;=64.99,"B",IF(AN109&lt;=69.99,"B+",IF(AN109&lt;=74.99,"A",IF(AN109&lt;=79.99,"A+","O")))))))</f>
        <v>B</v>
      </c>
      <c r="AP109" s="18" t="str">
        <f>IF(AN109&lt;50,"0",IF(AN109&lt;=54.99,"4",IF(AN109&lt;=59.99,"5",IF(AN109&lt;=64.99,"6",IF(AN109&lt;=69.99,"7",IF(AN109&lt;=74.99,"8",IF(AN109&lt;=79.99,"9","10")))))))</f>
        <v>6</v>
      </c>
      <c r="AQ109" s="28">
        <v>4</v>
      </c>
      <c r="AR109" s="29">
        <f>AP109*AQ109</f>
        <v>24</v>
      </c>
      <c r="AS109" s="16">
        <f>'[9]7th Subject'!$C15</f>
        <v>25</v>
      </c>
      <c r="AT109" s="16">
        <f>'[9]7th Subject'!$D15</f>
        <v>35</v>
      </c>
      <c r="AU109" s="27">
        <f>AT109+AS109</f>
        <v>60</v>
      </c>
      <c r="AV109" s="18" t="str">
        <f>IF(AU109&lt;50,"F",IF(AU109&lt;=54.99,"P",IF(AU109&lt;=59.99,"C",IF(AU109&lt;=64.99,"B",IF(AU109&lt;=69.99,"B+",IF(AU109&lt;=74.99,"A",IF(AU109&lt;=79.99,"A+","O")))))))</f>
        <v>B</v>
      </c>
      <c r="AW109" s="18" t="str">
        <f>IF(AU109&lt;50,"0",IF(AU109&lt;=54.99,"4",IF(AU109&lt;=59.99,"5",IF(AU109&lt;=64.99,"6",IF(AU109&lt;=69.99,"7",IF(AU109&lt;=74.99,"8",IF(AU109&lt;=79.99,"9","10")))))))</f>
        <v>6</v>
      </c>
      <c r="AX109" s="28">
        <v>4</v>
      </c>
      <c r="AY109" s="29">
        <f>AW109*AX109</f>
        <v>24</v>
      </c>
      <c r="AZ109" s="22">
        <f>'[10]8th Subject'!$C15</f>
        <v>25</v>
      </c>
      <c r="BA109" s="22">
        <f>'[10]8th Subject'!$D15</f>
        <v>35</v>
      </c>
      <c r="BB109" s="27">
        <f>BA109+AZ109</f>
        <v>60</v>
      </c>
      <c r="BC109" s="18" t="str">
        <f>IF(BB109&lt;50,"F",IF(BB109&lt;=54.99,"P",IF(BB109&lt;=59.99,"C",IF(BB109&lt;=64.99,"B",IF(BB109&lt;=69.99,"B+",IF(BB109&lt;=74.99,"A",IF(BB109&lt;=79.99,"A+","O")))))))</f>
        <v>B</v>
      </c>
      <c r="BD109" s="18" t="str">
        <f>IF(BB109&lt;50,"0",IF(BB109&lt;=54.99,"4",IF(BB109&lt;=59.99,"5",IF(BB109&lt;=64.99,"6",IF(BB109&lt;=69.99,"7",IF(BB109&lt;=74.99,"8",IF(BB109&lt;=79.99,"9","10")))))))</f>
        <v>6</v>
      </c>
      <c r="BE109" s="28">
        <v>4</v>
      </c>
      <c r="BF109" s="29">
        <f>BD109*BE109</f>
        <v>24</v>
      </c>
      <c r="BG109" s="27">
        <f>AZ109+AS109+AE109+X109+J109+C109+Q109+AL109</f>
        <v>200</v>
      </c>
      <c r="BH109" s="27">
        <f>BA109+AT109+AF109+Y109+K109+D109+R109+AM109</f>
        <v>280</v>
      </c>
      <c r="BI109" s="27">
        <f>BH109+BG109</f>
        <v>480</v>
      </c>
      <c r="BJ109" s="30">
        <f>G109+N109+U109+AB109+AI109+AP109+BD109+AW109</f>
        <v>48</v>
      </c>
      <c r="BK109" s="30">
        <f>I109+P109+W109+AD109+AK109+AY109+BF109+AR109</f>
        <v>192</v>
      </c>
      <c r="BL109" s="25">
        <f>(BN109-0.75)*10</f>
        <v>52.5</v>
      </c>
      <c r="BM109" s="17" t="str">
        <f>IF(OR(C109&lt;20,D109&lt;30,J109&lt;20,K109&lt;30,Q109&lt;20,R109&lt;30,X109&lt;20,Y109&lt;30,AE109&lt;20,AF109&lt;30,AL109&lt;20,AM109&lt;30,AS109&lt;20,AT109&lt;30,AZ109&lt;20,BA109&lt;30),"Unsuccessful","Successful")</f>
        <v>Successful</v>
      </c>
      <c r="BN109" s="31">
        <f>BK109/32</f>
        <v>6</v>
      </c>
      <c r="BO109" s="18" t="str">
        <f>IF(BN109&lt;=4,"F",IF(BN109&lt;=4.5,"P",IF(BN109&lt;=5.5,"C",IF(BN109&lt;=6.5,"B",IF(BN109&lt;=7.5,"B+",IF(BN109&lt;=8.5,"A",IF(BN109&lt;=9.5,"A+","O")))))))</f>
        <v>B</v>
      </c>
      <c r="BP109" s="14" t="str">
        <f>IF(BN109&lt;=4,"50",IF(BN109&lt;=4.5,"50-54.99",IF(BN109&lt;=5.5,"55-59.99",IF(BN109&lt;=6.5,"60-64.99",IF(BN109&lt;=7.5,"65-69.99",IF(BN109&lt;=8.5,"70-74.99",IF(BN109&lt;=9.5,"75-79.99","10")))))))</f>
        <v>60-64.99</v>
      </c>
      <c r="BS109">
        <f>RANK(BN109,$BN$3:$BN$135)</f>
        <v>107</v>
      </c>
    </row>
    <row r="110" spans="1:71" x14ac:dyDescent="0.25">
      <c r="A110" s="14" t="str">
        <f>[2]Sheet1!$A25</f>
        <v>MMS18-20/024</v>
      </c>
      <c r="B110" s="15" t="str">
        <f>[2]Sheet1!$B25</f>
        <v>DHUMAL SAURABH RAMESH RAJASHREE</v>
      </c>
      <c r="C110" s="16">
        <f>'[3]1st Subject'!$C26</f>
        <v>25</v>
      </c>
      <c r="D110" s="16">
        <f>'[3]1st Subject'!$D26</f>
        <v>35</v>
      </c>
      <c r="E110" s="27">
        <f>D110+C110</f>
        <v>60</v>
      </c>
      <c r="F110" s="18" t="str">
        <f>IF(E110&lt;50,"F",IF(E110&lt;=54.99,"P",IF(E110&lt;=59.99,"C",IF(E110&lt;=64.99,"B",IF(E110&lt;=69.99,"B+",IF(E110&lt;=74.99,"A",IF(E110&lt;=79.99,"A+","O")))))))</f>
        <v>B</v>
      </c>
      <c r="G110" s="18" t="str">
        <f>IF(E110&lt;50,"0",IF(E110&lt;=54.99,"4",IF(E110&lt;=59.99,"5",IF(E110&lt;=64.99,"6",IF(E110&lt;=69.99,"7",IF(E110&lt;=74.99,"8",IF(E110&lt;=79.99,"9","10")))))))</f>
        <v>6</v>
      </c>
      <c r="H110" s="28">
        <v>4</v>
      </c>
      <c r="I110" s="29">
        <f>G110*H110</f>
        <v>24</v>
      </c>
      <c r="J110" s="16">
        <f>'[4]2nd Subject'!$C26</f>
        <v>25</v>
      </c>
      <c r="K110" s="16">
        <f>'[4]2nd Subject'!$D26</f>
        <v>35</v>
      </c>
      <c r="L110" s="27">
        <f>K110+J110</f>
        <v>60</v>
      </c>
      <c r="M110" s="18" t="str">
        <f>IF(L110&lt;50,"F",IF(L110&lt;=54.99,"P",IF(L110&lt;=59.99,"C",IF(L110&lt;=64.99,"B",IF(L110&lt;=69.99,"B+",IF(L110&lt;=74.99,"A",IF(L110&lt;=79.99,"A+","O")))))))</f>
        <v>B</v>
      </c>
      <c r="N110" s="18" t="str">
        <f>IF(L110&lt;50,"0",IF(L110&lt;=54.99,"4",IF(L110&lt;=59.99,"5",IF(L110&lt;=64.99,"6",IF(L110&lt;=69.99,"7",IF(L110&lt;=74.99,"8",IF(L110&lt;=79.99,"9","10")))))))</f>
        <v>6</v>
      </c>
      <c r="O110" s="28">
        <v>4</v>
      </c>
      <c r="P110" s="29">
        <f>N110*O110</f>
        <v>24</v>
      </c>
      <c r="Q110" s="21">
        <f>'[5]3rd Subject'!$C26</f>
        <v>25</v>
      </c>
      <c r="R110" s="21">
        <f>'[5]3rd Subject'!$D26</f>
        <v>35</v>
      </c>
      <c r="S110" s="27">
        <f>R110+Q110</f>
        <v>60</v>
      </c>
      <c r="T110" s="18" t="str">
        <f>IF(S110&lt;50,"F",IF(S110&lt;=54.99,"P",IF(S110&lt;=59.99,"C",IF(S110&lt;=64.99,"B",IF(S110&lt;=69.99,"B+",IF(S110&lt;=74.99,"A",IF(S110&lt;=79.99,"A+","O")))))))</f>
        <v>B</v>
      </c>
      <c r="U110" s="18" t="str">
        <f>IF(S110&lt;50,"0",IF(S110&lt;=54.99,"4",IF(S110&lt;=59.99,"5",IF(S110&lt;=64.99,"6",IF(S110&lt;=69.99,"7",IF(S110&lt;=74.99,"8",IF(S110&lt;=79.99,"9","10")))))))</f>
        <v>6</v>
      </c>
      <c r="V110" s="28">
        <v>4</v>
      </c>
      <c r="W110" s="29">
        <f>U110*V110</f>
        <v>24</v>
      </c>
      <c r="X110" s="22">
        <f>'[6]4th Subject'!$C26</f>
        <v>25</v>
      </c>
      <c r="Y110" s="23">
        <f>'[6]4th Subject'!$D26</f>
        <v>35</v>
      </c>
      <c r="Z110" s="27">
        <f>Y110+X110</f>
        <v>60</v>
      </c>
      <c r="AA110" s="18" t="str">
        <f>IF(Z110&lt;50,"F",IF(Z110&lt;=54.99,"P",IF(Z110&lt;=59.99,"C",IF(Z110&lt;=64.99,"B",IF(Z110&lt;=69.99,"B+",IF(Z110&lt;=74.99,"A",IF(Z110&lt;=79.99,"A+","O")))))))</f>
        <v>B</v>
      </c>
      <c r="AB110" s="18" t="str">
        <f>IF(Z110&lt;50,"0",IF(Z110&lt;=54.99,"4",IF(Z110&lt;=59.99,"5",IF(Z110&lt;=64.99,"6",IF(Z110&lt;=69.99,"7",IF(Z110&lt;=74.99,"8",IF(Z110&lt;=79.99,"9","10")))))))</f>
        <v>6</v>
      </c>
      <c r="AC110" s="28">
        <v>4</v>
      </c>
      <c r="AD110" s="29">
        <f>AB110*AC110</f>
        <v>24</v>
      </c>
      <c r="AE110" s="22">
        <f>'[7]5th Subject'!$C26</f>
        <v>25</v>
      </c>
      <c r="AF110" s="23">
        <f>'[7]5th Subject'!$D26</f>
        <v>35</v>
      </c>
      <c r="AG110" s="27">
        <f>AF110+AE110</f>
        <v>60</v>
      </c>
      <c r="AH110" s="18" t="str">
        <f>IF(AG110&lt;50,"F",IF(AG110&lt;=54.99,"P",IF(AG110&lt;=59.99,"C",IF(AG110&lt;=64.99,"B",IF(AG110&lt;=69.99,"B+",IF(AG110&lt;=74.99,"A",IF(AG110&lt;=79.99,"A+","O")))))))</f>
        <v>B</v>
      </c>
      <c r="AI110" s="18" t="str">
        <f>IF(AG110&lt;50,"0",IF(AG110&lt;=54.99,"4",IF(AG110&lt;=59.99,"5",IF(AG110&lt;=64.99,"6",IF(AG110&lt;=69.99,"7",IF(AG110&lt;=74.99,"8",IF(AG110&lt;=79.99,"9","10")))))))</f>
        <v>6</v>
      </c>
      <c r="AJ110" s="28">
        <v>4</v>
      </c>
      <c r="AK110" s="29">
        <f>AI110*AJ110</f>
        <v>24</v>
      </c>
      <c r="AL110" s="22">
        <f>'[8]6th Subject'!$C26</f>
        <v>25</v>
      </c>
      <c r="AM110" s="22">
        <f>'[8]6th Subject'!$D26</f>
        <v>35</v>
      </c>
      <c r="AN110" s="27">
        <f>AM110+AL110</f>
        <v>60</v>
      </c>
      <c r="AO110" s="18" t="str">
        <f>IF(AN110&lt;50,"F",IF(AN110&lt;=54.99,"P",IF(AN110&lt;=59.99,"C",IF(AN110&lt;=64.99,"B",IF(AN110&lt;=69.99,"B+",IF(AN110&lt;=74.99,"A",IF(AN110&lt;=79.99,"A+","O")))))))</f>
        <v>B</v>
      </c>
      <c r="AP110" s="18" t="str">
        <f>IF(AN110&lt;50,"0",IF(AN110&lt;=54.99,"4",IF(AN110&lt;=59.99,"5",IF(AN110&lt;=64.99,"6",IF(AN110&lt;=69.99,"7",IF(AN110&lt;=74.99,"8",IF(AN110&lt;=79.99,"9","10")))))))</f>
        <v>6</v>
      </c>
      <c r="AQ110" s="28">
        <v>4</v>
      </c>
      <c r="AR110" s="29">
        <f>AP110*AQ110</f>
        <v>24</v>
      </c>
      <c r="AS110" s="16">
        <f>'[9]7th Subject'!$C26</f>
        <v>25</v>
      </c>
      <c r="AT110" s="16">
        <f>'[9]7th Subject'!$D26</f>
        <v>35</v>
      </c>
      <c r="AU110" s="27">
        <f>AT110+AS110</f>
        <v>60</v>
      </c>
      <c r="AV110" s="18" t="str">
        <f>IF(AU110&lt;50,"F",IF(AU110&lt;=54.99,"P",IF(AU110&lt;=59.99,"C",IF(AU110&lt;=64.99,"B",IF(AU110&lt;=69.99,"B+",IF(AU110&lt;=74.99,"A",IF(AU110&lt;=79.99,"A+","O")))))))</f>
        <v>B</v>
      </c>
      <c r="AW110" s="18" t="str">
        <f>IF(AU110&lt;50,"0",IF(AU110&lt;=54.99,"4",IF(AU110&lt;=59.99,"5",IF(AU110&lt;=64.99,"6",IF(AU110&lt;=69.99,"7",IF(AU110&lt;=74.99,"8",IF(AU110&lt;=79.99,"9","10")))))))</f>
        <v>6</v>
      </c>
      <c r="AX110" s="28">
        <v>4</v>
      </c>
      <c r="AY110" s="29">
        <f>AW110*AX110</f>
        <v>24</v>
      </c>
      <c r="AZ110" s="22">
        <f>'[10]8th Subject'!$C26</f>
        <v>25</v>
      </c>
      <c r="BA110" s="22">
        <f>'[10]8th Subject'!$D26</f>
        <v>35</v>
      </c>
      <c r="BB110" s="27">
        <f>BA110+AZ110</f>
        <v>60</v>
      </c>
      <c r="BC110" s="18" t="str">
        <f>IF(BB110&lt;50,"F",IF(BB110&lt;=54.99,"P",IF(BB110&lt;=59.99,"C",IF(BB110&lt;=64.99,"B",IF(BB110&lt;=69.99,"B+",IF(BB110&lt;=74.99,"A",IF(BB110&lt;=79.99,"A+","O")))))))</f>
        <v>B</v>
      </c>
      <c r="BD110" s="18" t="str">
        <f>IF(BB110&lt;50,"0",IF(BB110&lt;=54.99,"4",IF(BB110&lt;=59.99,"5",IF(BB110&lt;=64.99,"6",IF(BB110&lt;=69.99,"7",IF(BB110&lt;=74.99,"8",IF(BB110&lt;=79.99,"9","10")))))))</f>
        <v>6</v>
      </c>
      <c r="BE110" s="28">
        <v>4</v>
      </c>
      <c r="BF110" s="29">
        <f>BD110*BE110</f>
        <v>24</v>
      </c>
      <c r="BG110" s="27">
        <f>AZ110+AS110+AE110+X110+J110+C110+Q110+AL110</f>
        <v>200</v>
      </c>
      <c r="BH110" s="27">
        <f>BA110+AT110+AF110+Y110+K110+D110+R110+AM110</f>
        <v>280</v>
      </c>
      <c r="BI110" s="27">
        <f>BH110+BG110</f>
        <v>480</v>
      </c>
      <c r="BJ110" s="30">
        <f>G110+N110+U110+AB110+AI110+AP110+BD110+AW110</f>
        <v>48</v>
      </c>
      <c r="BK110" s="30">
        <f>I110+P110+W110+AD110+AK110+AY110+BF110+AR110</f>
        <v>192</v>
      </c>
      <c r="BL110" s="25">
        <f>(BN110-0.75)*10</f>
        <v>52.5</v>
      </c>
      <c r="BM110" s="17" t="str">
        <f>IF(OR(C110&lt;20,D110&lt;30,J110&lt;20,K110&lt;30,Q110&lt;20,R110&lt;30,X110&lt;20,Y110&lt;30,AE110&lt;20,AF110&lt;30,AL110&lt;20,AM110&lt;30,AS110&lt;20,AT110&lt;30,AZ110&lt;20,BA110&lt;30),"Unsuccessful","Successful")</f>
        <v>Successful</v>
      </c>
      <c r="BN110" s="31">
        <f>BK110/32</f>
        <v>6</v>
      </c>
      <c r="BO110" s="18" t="str">
        <f>IF(BN110&lt;=4,"F",IF(BN110&lt;=4.5,"P",IF(BN110&lt;=5.5,"C",IF(BN110&lt;=6.5,"B",IF(BN110&lt;=7.5,"B+",IF(BN110&lt;=8.5,"A",IF(BN110&lt;=9.5,"A+","O")))))))</f>
        <v>B</v>
      </c>
      <c r="BP110" s="14" t="str">
        <f>IF(BN110&lt;=4,"50",IF(BN110&lt;=4.5,"50-54.99",IF(BN110&lt;=5.5,"55-59.99",IF(BN110&lt;=6.5,"60-64.99",IF(BN110&lt;=7.5,"65-69.99",IF(BN110&lt;=8.5,"70-74.99",IF(BN110&lt;=9.5,"75-79.99","10")))))))</f>
        <v>60-64.99</v>
      </c>
      <c r="BS110">
        <f>RANK(BN110,$BN$3:$BN$135)</f>
        <v>107</v>
      </c>
    </row>
    <row r="111" spans="1:71" x14ac:dyDescent="0.25">
      <c r="A111" s="14" t="str">
        <f>[2]Sheet1!$A36</f>
        <v>MMS18-20/035</v>
      </c>
      <c r="B111" s="15" t="str">
        <f>[2]Sheet1!$B36</f>
        <v>KADAM AVIRAJ MOHAN MOHINI</v>
      </c>
      <c r="C111" s="16">
        <f>'[3]1st Subject'!$C37</f>
        <v>25</v>
      </c>
      <c r="D111" s="16">
        <f>'[3]1st Subject'!$D37</f>
        <v>35</v>
      </c>
      <c r="E111" s="27">
        <f>D111+C111</f>
        <v>60</v>
      </c>
      <c r="F111" s="18" t="str">
        <f>IF(E111&lt;50,"F",IF(E111&lt;=54.99,"P",IF(E111&lt;=59.99,"C",IF(E111&lt;=64.99,"B",IF(E111&lt;=69.99,"B+",IF(E111&lt;=74.99,"A",IF(E111&lt;=79.99,"A+","O")))))))</f>
        <v>B</v>
      </c>
      <c r="G111" s="18" t="str">
        <f>IF(E111&lt;50,"0",IF(E111&lt;=54.99,"4",IF(E111&lt;=59.99,"5",IF(E111&lt;=64.99,"6",IF(E111&lt;=69.99,"7",IF(E111&lt;=74.99,"8",IF(E111&lt;=79.99,"9","10")))))))</f>
        <v>6</v>
      </c>
      <c r="H111" s="28">
        <v>4</v>
      </c>
      <c r="I111" s="29">
        <f>G111*H111</f>
        <v>24</v>
      </c>
      <c r="J111" s="16">
        <f>'[4]2nd Subject'!$C37</f>
        <v>25</v>
      </c>
      <c r="K111" s="16">
        <f>'[4]2nd Subject'!$D37</f>
        <v>35</v>
      </c>
      <c r="L111" s="27">
        <f>K111+J111</f>
        <v>60</v>
      </c>
      <c r="M111" s="18" t="str">
        <f>IF(L111&lt;50,"F",IF(L111&lt;=54.99,"P",IF(L111&lt;=59.99,"C",IF(L111&lt;=64.99,"B",IF(L111&lt;=69.99,"B+",IF(L111&lt;=74.99,"A",IF(L111&lt;=79.99,"A+","O")))))))</f>
        <v>B</v>
      </c>
      <c r="N111" s="18" t="str">
        <f>IF(L111&lt;50,"0",IF(L111&lt;=54.99,"4",IF(L111&lt;=59.99,"5",IF(L111&lt;=64.99,"6",IF(L111&lt;=69.99,"7",IF(L111&lt;=74.99,"8",IF(L111&lt;=79.99,"9","10")))))))</f>
        <v>6</v>
      </c>
      <c r="O111" s="28">
        <v>4</v>
      </c>
      <c r="P111" s="29">
        <f>N111*O111</f>
        <v>24</v>
      </c>
      <c r="Q111" s="21">
        <f>'[5]3rd Subject'!$C37</f>
        <v>25</v>
      </c>
      <c r="R111" s="21">
        <f>'[5]3rd Subject'!$D37</f>
        <v>35</v>
      </c>
      <c r="S111" s="27">
        <f>R111+Q111</f>
        <v>60</v>
      </c>
      <c r="T111" s="18" t="str">
        <f>IF(S111&lt;50,"F",IF(S111&lt;=54.99,"P",IF(S111&lt;=59.99,"C",IF(S111&lt;=64.99,"B",IF(S111&lt;=69.99,"B+",IF(S111&lt;=74.99,"A",IF(S111&lt;=79.99,"A+","O")))))))</f>
        <v>B</v>
      </c>
      <c r="U111" s="18" t="str">
        <f>IF(S111&lt;50,"0",IF(S111&lt;=54.99,"4",IF(S111&lt;=59.99,"5",IF(S111&lt;=64.99,"6",IF(S111&lt;=69.99,"7",IF(S111&lt;=74.99,"8",IF(S111&lt;=79.99,"9","10")))))))</f>
        <v>6</v>
      </c>
      <c r="V111" s="28">
        <v>4</v>
      </c>
      <c r="W111" s="29">
        <f>U111*V111</f>
        <v>24</v>
      </c>
      <c r="X111" s="22">
        <f>'[6]4th Subject'!$C37</f>
        <v>25</v>
      </c>
      <c r="Y111" s="23">
        <f>'[6]4th Subject'!$D37</f>
        <v>35</v>
      </c>
      <c r="Z111" s="27">
        <f>Y111+X111</f>
        <v>60</v>
      </c>
      <c r="AA111" s="18" t="str">
        <f>IF(Z111&lt;50,"F",IF(Z111&lt;=54.99,"P",IF(Z111&lt;=59.99,"C",IF(Z111&lt;=64.99,"B",IF(Z111&lt;=69.99,"B+",IF(Z111&lt;=74.99,"A",IF(Z111&lt;=79.99,"A+","O")))))))</f>
        <v>B</v>
      </c>
      <c r="AB111" s="18" t="str">
        <f>IF(Z111&lt;50,"0",IF(Z111&lt;=54.99,"4",IF(Z111&lt;=59.99,"5",IF(Z111&lt;=64.99,"6",IF(Z111&lt;=69.99,"7",IF(Z111&lt;=74.99,"8",IF(Z111&lt;=79.99,"9","10")))))))</f>
        <v>6</v>
      </c>
      <c r="AC111" s="28">
        <v>4</v>
      </c>
      <c r="AD111" s="29">
        <f>AB111*AC111</f>
        <v>24</v>
      </c>
      <c r="AE111" s="22">
        <f>'[7]5th Subject'!$C37</f>
        <v>25</v>
      </c>
      <c r="AF111" s="23">
        <f>'[7]5th Subject'!$D37</f>
        <v>35</v>
      </c>
      <c r="AG111" s="27">
        <f>AF111+AE111</f>
        <v>60</v>
      </c>
      <c r="AH111" s="18" t="str">
        <f>IF(AG111&lt;50,"F",IF(AG111&lt;=54.99,"P",IF(AG111&lt;=59.99,"C",IF(AG111&lt;=64.99,"B",IF(AG111&lt;=69.99,"B+",IF(AG111&lt;=74.99,"A",IF(AG111&lt;=79.99,"A+","O")))))))</f>
        <v>B</v>
      </c>
      <c r="AI111" s="18" t="str">
        <f>IF(AG111&lt;50,"0",IF(AG111&lt;=54.99,"4",IF(AG111&lt;=59.99,"5",IF(AG111&lt;=64.99,"6",IF(AG111&lt;=69.99,"7",IF(AG111&lt;=74.99,"8",IF(AG111&lt;=79.99,"9","10")))))))</f>
        <v>6</v>
      </c>
      <c r="AJ111" s="28">
        <v>4</v>
      </c>
      <c r="AK111" s="29">
        <f>AI111*AJ111</f>
        <v>24</v>
      </c>
      <c r="AL111" s="22">
        <f>'[8]6th Subject'!$C37</f>
        <v>25</v>
      </c>
      <c r="AM111" s="22">
        <f>'[8]6th Subject'!$D37</f>
        <v>35</v>
      </c>
      <c r="AN111" s="27">
        <f>AM111+AL111</f>
        <v>60</v>
      </c>
      <c r="AO111" s="18" t="str">
        <f>IF(AN111&lt;50,"F",IF(AN111&lt;=54.99,"P",IF(AN111&lt;=59.99,"C",IF(AN111&lt;=64.99,"B",IF(AN111&lt;=69.99,"B+",IF(AN111&lt;=74.99,"A",IF(AN111&lt;=79.99,"A+","O")))))))</f>
        <v>B</v>
      </c>
      <c r="AP111" s="18" t="str">
        <f>IF(AN111&lt;50,"0",IF(AN111&lt;=54.99,"4",IF(AN111&lt;=59.99,"5",IF(AN111&lt;=64.99,"6",IF(AN111&lt;=69.99,"7",IF(AN111&lt;=74.99,"8",IF(AN111&lt;=79.99,"9","10")))))))</f>
        <v>6</v>
      </c>
      <c r="AQ111" s="28">
        <v>4</v>
      </c>
      <c r="AR111" s="29">
        <f>AP111*AQ111</f>
        <v>24</v>
      </c>
      <c r="AS111" s="16">
        <f>'[9]7th Subject'!$C37</f>
        <v>25</v>
      </c>
      <c r="AT111" s="16">
        <f>'[9]7th Subject'!$D37</f>
        <v>35</v>
      </c>
      <c r="AU111" s="27">
        <f>AT111+AS111</f>
        <v>60</v>
      </c>
      <c r="AV111" s="18" t="str">
        <f>IF(AU111&lt;50,"F",IF(AU111&lt;=54.99,"P",IF(AU111&lt;=59.99,"C",IF(AU111&lt;=64.99,"B",IF(AU111&lt;=69.99,"B+",IF(AU111&lt;=74.99,"A",IF(AU111&lt;=79.99,"A+","O")))))))</f>
        <v>B</v>
      </c>
      <c r="AW111" s="18" t="str">
        <f>IF(AU111&lt;50,"0",IF(AU111&lt;=54.99,"4",IF(AU111&lt;=59.99,"5",IF(AU111&lt;=64.99,"6",IF(AU111&lt;=69.99,"7",IF(AU111&lt;=74.99,"8",IF(AU111&lt;=79.99,"9","10")))))))</f>
        <v>6</v>
      </c>
      <c r="AX111" s="28">
        <v>4</v>
      </c>
      <c r="AY111" s="29">
        <f>AW111*AX111</f>
        <v>24</v>
      </c>
      <c r="AZ111" s="22">
        <f>'[10]8th Subject'!$C37</f>
        <v>25</v>
      </c>
      <c r="BA111" s="22">
        <f>'[10]8th Subject'!$D37</f>
        <v>35</v>
      </c>
      <c r="BB111" s="27">
        <f>BA111+AZ111</f>
        <v>60</v>
      </c>
      <c r="BC111" s="18" t="str">
        <f>IF(BB111&lt;50,"F",IF(BB111&lt;=54.99,"P",IF(BB111&lt;=59.99,"C",IF(BB111&lt;=64.99,"B",IF(BB111&lt;=69.99,"B+",IF(BB111&lt;=74.99,"A",IF(BB111&lt;=79.99,"A+","O")))))))</f>
        <v>B</v>
      </c>
      <c r="BD111" s="18" t="str">
        <f>IF(BB111&lt;50,"0",IF(BB111&lt;=54.99,"4",IF(BB111&lt;=59.99,"5",IF(BB111&lt;=64.99,"6",IF(BB111&lt;=69.99,"7",IF(BB111&lt;=74.99,"8",IF(BB111&lt;=79.99,"9","10")))))))</f>
        <v>6</v>
      </c>
      <c r="BE111" s="28">
        <v>4</v>
      </c>
      <c r="BF111" s="29">
        <f>BD111*BE111</f>
        <v>24</v>
      </c>
      <c r="BG111" s="27">
        <f>AZ111+AS111+AE111+X111+J111+C111+Q111+AL111</f>
        <v>200</v>
      </c>
      <c r="BH111" s="27">
        <f>BA111+AT111+AF111+Y111+K111+D111+R111+AM111</f>
        <v>280</v>
      </c>
      <c r="BI111" s="27">
        <f>BH111+BG111</f>
        <v>480</v>
      </c>
      <c r="BJ111" s="30">
        <f>G111+N111+U111+AB111+AI111+AP111+BD111+AW111</f>
        <v>48</v>
      </c>
      <c r="BK111" s="30">
        <f>I111+P111+W111+AD111+AK111+AY111+BF111+AR111</f>
        <v>192</v>
      </c>
      <c r="BL111" s="25">
        <f>(BN111-0.75)*10</f>
        <v>52.5</v>
      </c>
      <c r="BM111" s="17" t="str">
        <f>IF(OR(C111&lt;20,D111&lt;30,J111&lt;20,K111&lt;30,Q111&lt;20,R111&lt;30,X111&lt;20,Y111&lt;30,AE111&lt;20,AF111&lt;30,AL111&lt;20,AM111&lt;30,AS111&lt;20,AT111&lt;30,AZ111&lt;20,BA111&lt;30),"Unsuccessful","Successful")</f>
        <v>Successful</v>
      </c>
      <c r="BN111" s="31">
        <f>BK111/32</f>
        <v>6</v>
      </c>
      <c r="BO111" s="18" t="str">
        <f>IF(BN111&lt;=4,"F",IF(BN111&lt;=4.5,"P",IF(BN111&lt;=5.5,"C",IF(BN111&lt;=6.5,"B",IF(BN111&lt;=7.5,"B+",IF(BN111&lt;=8.5,"A",IF(BN111&lt;=9.5,"A+","O")))))))</f>
        <v>B</v>
      </c>
      <c r="BP111" s="14" t="str">
        <f>IF(BN111&lt;=4,"50",IF(BN111&lt;=4.5,"50-54.99",IF(BN111&lt;=5.5,"55-59.99",IF(BN111&lt;=6.5,"60-64.99",IF(BN111&lt;=7.5,"65-69.99",IF(BN111&lt;=8.5,"70-74.99",IF(BN111&lt;=9.5,"75-79.99","10")))))))</f>
        <v>60-64.99</v>
      </c>
      <c r="BS111">
        <f>RANK(BN111,$BN$3:$BN$135)</f>
        <v>107</v>
      </c>
    </row>
    <row r="112" spans="1:71" x14ac:dyDescent="0.25">
      <c r="A112" s="14" t="str">
        <f>[2]Sheet1!$A47</f>
        <v>MMS18-20/046</v>
      </c>
      <c r="B112" s="15" t="str">
        <f>[2]Sheet1!$B47</f>
        <v>KONDEKAR VAIBHAV VIJAY VAISHALI</v>
      </c>
      <c r="C112" s="16">
        <f>'[3]1st Subject'!$C48</f>
        <v>25</v>
      </c>
      <c r="D112" s="16">
        <f>'[3]1st Subject'!$D48</f>
        <v>35</v>
      </c>
      <c r="E112" s="27">
        <f>D112+C112</f>
        <v>60</v>
      </c>
      <c r="F112" s="18" t="str">
        <f>IF(E112&lt;50,"F",IF(E112&lt;=54.99,"P",IF(E112&lt;=59.99,"C",IF(E112&lt;=64.99,"B",IF(E112&lt;=69.99,"B+",IF(E112&lt;=74.99,"A",IF(E112&lt;=79.99,"A+","O")))))))</f>
        <v>B</v>
      </c>
      <c r="G112" s="18" t="str">
        <f>IF(E112&lt;50,"0",IF(E112&lt;=54.99,"4",IF(E112&lt;=59.99,"5",IF(E112&lt;=64.99,"6",IF(E112&lt;=69.99,"7",IF(E112&lt;=74.99,"8",IF(E112&lt;=79.99,"9","10")))))))</f>
        <v>6</v>
      </c>
      <c r="H112" s="28">
        <v>4</v>
      </c>
      <c r="I112" s="29">
        <f>G112*H112</f>
        <v>24</v>
      </c>
      <c r="J112" s="16">
        <f>'[4]2nd Subject'!$C48</f>
        <v>25</v>
      </c>
      <c r="K112" s="16">
        <f>'[4]2nd Subject'!$D48</f>
        <v>35</v>
      </c>
      <c r="L112" s="27">
        <f>K112+J112</f>
        <v>60</v>
      </c>
      <c r="M112" s="18" t="str">
        <f>IF(L112&lt;50,"F",IF(L112&lt;=54.99,"P",IF(L112&lt;=59.99,"C",IF(L112&lt;=64.99,"B",IF(L112&lt;=69.99,"B+",IF(L112&lt;=74.99,"A",IF(L112&lt;=79.99,"A+","O")))))))</f>
        <v>B</v>
      </c>
      <c r="N112" s="18" t="str">
        <f>IF(L112&lt;50,"0",IF(L112&lt;=54.99,"4",IF(L112&lt;=59.99,"5",IF(L112&lt;=64.99,"6",IF(L112&lt;=69.99,"7",IF(L112&lt;=74.99,"8",IF(L112&lt;=79.99,"9","10")))))))</f>
        <v>6</v>
      </c>
      <c r="O112" s="28">
        <v>4</v>
      </c>
      <c r="P112" s="29">
        <f>N112*O112</f>
        <v>24</v>
      </c>
      <c r="Q112" s="21">
        <f>'[5]3rd Subject'!$C48</f>
        <v>25</v>
      </c>
      <c r="R112" s="21">
        <f>'[5]3rd Subject'!$D48</f>
        <v>35</v>
      </c>
      <c r="S112" s="27">
        <f>R112+Q112</f>
        <v>60</v>
      </c>
      <c r="T112" s="18" t="str">
        <f>IF(S112&lt;50,"F",IF(S112&lt;=54.99,"P",IF(S112&lt;=59.99,"C",IF(S112&lt;=64.99,"B",IF(S112&lt;=69.99,"B+",IF(S112&lt;=74.99,"A",IF(S112&lt;=79.99,"A+","O")))))))</f>
        <v>B</v>
      </c>
      <c r="U112" s="18" t="str">
        <f>IF(S112&lt;50,"0",IF(S112&lt;=54.99,"4",IF(S112&lt;=59.99,"5",IF(S112&lt;=64.99,"6",IF(S112&lt;=69.99,"7",IF(S112&lt;=74.99,"8",IF(S112&lt;=79.99,"9","10")))))))</f>
        <v>6</v>
      </c>
      <c r="V112" s="28">
        <v>4</v>
      </c>
      <c r="W112" s="29">
        <f>U112*V112</f>
        <v>24</v>
      </c>
      <c r="X112" s="22">
        <f>'[6]4th Subject'!$C48</f>
        <v>25</v>
      </c>
      <c r="Y112" s="23">
        <f>'[6]4th Subject'!$D48</f>
        <v>35</v>
      </c>
      <c r="Z112" s="27">
        <f>Y112+X112</f>
        <v>60</v>
      </c>
      <c r="AA112" s="18" t="str">
        <f>IF(Z112&lt;50,"F",IF(Z112&lt;=54.99,"P",IF(Z112&lt;=59.99,"C",IF(Z112&lt;=64.99,"B",IF(Z112&lt;=69.99,"B+",IF(Z112&lt;=74.99,"A",IF(Z112&lt;=79.99,"A+","O")))))))</f>
        <v>B</v>
      </c>
      <c r="AB112" s="18" t="str">
        <f>IF(Z112&lt;50,"0",IF(Z112&lt;=54.99,"4",IF(Z112&lt;=59.99,"5",IF(Z112&lt;=64.99,"6",IF(Z112&lt;=69.99,"7",IF(Z112&lt;=74.99,"8",IF(Z112&lt;=79.99,"9","10")))))))</f>
        <v>6</v>
      </c>
      <c r="AC112" s="28">
        <v>4</v>
      </c>
      <c r="AD112" s="29">
        <f>AB112*AC112</f>
        <v>24</v>
      </c>
      <c r="AE112" s="22">
        <f>'[7]5th Subject'!$C48</f>
        <v>25</v>
      </c>
      <c r="AF112" s="23">
        <f>'[7]5th Subject'!$D48</f>
        <v>35</v>
      </c>
      <c r="AG112" s="27">
        <f>AF112+AE112</f>
        <v>60</v>
      </c>
      <c r="AH112" s="18" t="str">
        <f>IF(AG112&lt;50,"F",IF(AG112&lt;=54.99,"P",IF(AG112&lt;=59.99,"C",IF(AG112&lt;=64.99,"B",IF(AG112&lt;=69.99,"B+",IF(AG112&lt;=74.99,"A",IF(AG112&lt;=79.99,"A+","O")))))))</f>
        <v>B</v>
      </c>
      <c r="AI112" s="18" t="str">
        <f>IF(AG112&lt;50,"0",IF(AG112&lt;=54.99,"4",IF(AG112&lt;=59.99,"5",IF(AG112&lt;=64.99,"6",IF(AG112&lt;=69.99,"7",IF(AG112&lt;=74.99,"8",IF(AG112&lt;=79.99,"9","10")))))))</f>
        <v>6</v>
      </c>
      <c r="AJ112" s="28">
        <v>4</v>
      </c>
      <c r="AK112" s="29">
        <f>AI112*AJ112</f>
        <v>24</v>
      </c>
      <c r="AL112" s="22">
        <f>'[8]6th Subject'!$C48</f>
        <v>25</v>
      </c>
      <c r="AM112" s="22">
        <f>'[8]6th Subject'!$D48</f>
        <v>35</v>
      </c>
      <c r="AN112" s="27">
        <f>AM112+AL112</f>
        <v>60</v>
      </c>
      <c r="AO112" s="18" t="str">
        <f>IF(AN112&lt;50,"F",IF(AN112&lt;=54.99,"P",IF(AN112&lt;=59.99,"C",IF(AN112&lt;=64.99,"B",IF(AN112&lt;=69.99,"B+",IF(AN112&lt;=74.99,"A",IF(AN112&lt;=79.99,"A+","O")))))))</f>
        <v>B</v>
      </c>
      <c r="AP112" s="18" t="str">
        <f>IF(AN112&lt;50,"0",IF(AN112&lt;=54.99,"4",IF(AN112&lt;=59.99,"5",IF(AN112&lt;=64.99,"6",IF(AN112&lt;=69.99,"7",IF(AN112&lt;=74.99,"8",IF(AN112&lt;=79.99,"9","10")))))))</f>
        <v>6</v>
      </c>
      <c r="AQ112" s="28">
        <v>4</v>
      </c>
      <c r="AR112" s="29">
        <f>AP112*AQ112</f>
        <v>24</v>
      </c>
      <c r="AS112" s="16">
        <f>'[9]7th Subject'!$C48</f>
        <v>25</v>
      </c>
      <c r="AT112" s="16">
        <f>'[9]7th Subject'!$D48</f>
        <v>35</v>
      </c>
      <c r="AU112" s="27">
        <f>AT112+AS112</f>
        <v>60</v>
      </c>
      <c r="AV112" s="18" t="str">
        <f>IF(AU112&lt;50,"F",IF(AU112&lt;=54.99,"P",IF(AU112&lt;=59.99,"C",IF(AU112&lt;=64.99,"B",IF(AU112&lt;=69.99,"B+",IF(AU112&lt;=74.99,"A",IF(AU112&lt;=79.99,"A+","O")))))))</f>
        <v>B</v>
      </c>
      <c r="AW112" s="18" t="str">
        <f>IF(AU112&lt;50,"0",IF(AU112&lt;=54.99,"4",IF(AU112&lt;=59.99,"5",IF(AU112&lt;=64.99,"6",IF(AU112&lt;=69.99,"7",IF(AU112&lt;=74.99,"8",IF(AU112&lt;=79.99,"9","10")))))))</f>
        <v>6</v>
      </c>
      <c r="AX112" s="28">
        <v>4</v>
      </c>
      <c r="AY112" s="29">
        <f>AW112*AX112</f>
        <v>24</v>
      </c>
      <c r="AZ112" s="22">
        <f>'[10]8th Subject'!$C48</f>
        <v>25</v>
      </c>
      <c r="BA112" s="22">
        <f>'[10]8th Subject'!$D48</f>
        <v>35</v>
      </c>
      <c r="BB112" s="27">
        <f>BA112+AZ112</f>
        <v>60</v>
      </c>
      <c r="BC112" s="18" t="str">
        <f>IF(BB112&lt;50,"F",IF(BB112&lt;=54.99,"P",IF(BB112&lt;=59.99,"C",IF(BB112&lt;=64.99,"B",IF(BB112&lt;=69.99,"B+",IF(BB112&lt;=74.99,"A",IF(BB112&lt;=79.99,"A+","O")))))))</f>
        <v>B</v>
      </c>
      <c r="BD112" s="18" t="str">
        <f>IF(BB112&lt;50,"0",IF(BB112&lt;=54.99,"4",IF(BB112&lt;=59.99,"5",IF(BB112&lt;=64.99,"6",IF(BB112&lt;=69.99,"7",IF(BB112&lt;=74.99,"8",IF(BB112&lt;=79.99,"9","10")))))))</f>
        <v>6</v>
      </c>
      <c r="BE112" s="28">
        <v>4</v>
      </c>
      <c r="BF112" s="29">
        <f>BD112*BE112</f>
        <v>24</v>
      </c>
      <c r="BG112" s="27">
        <f>AZ112+AS112+AE112+X112+J112+C112+Q112+AL112</f>
        <v>200</v>
      </c>
      <c r="BH112" s="27">
        <f>BA112+AT112+AF112+Y112+K112+D112+R112+AM112</f>
        <v>280</v>
      </c>
      <c r="BI112" s="27">
        <f>BH112+BG112</f>
        <v>480</v>
      </c>
      <c r="BJ112" s="30">
        <f>G112+N112+U112+AB112+AI112+AP112+BD112+AW112</f>
        <v>48</v>
      </c>
      <c r="BK112" s="30">
        <f>I112+P112+W112+AD112+AK112+AY112+BF112+AR112</f>
        <v>192</v>
      </c>
      <c r="BL112" s="25">
        <f>(BN112-0.75)*10</f>
        <v>52.5</v>
      </c>
      <c r="BM112" s="17" t="str">
        <f>IF(OR(C112&lt;20,D112&lt;30,J112&lt;20,K112&lt;30,Q112&lt;20,R112&lt;30,X112&lt;20,Y112&lt;30,AE112&lt;20,AF112&lt;30,AL112&lt;20,AM112&lt;30,AS112&lt;20,AT112&lt;30,AZ112&lt;20,BA112&lt;30),"Unsuccessful","Successful")</f>
        <v>Successful</v>
      </c>
      <c r="BN112" s="31">
        <f>BK112/32</f>
        <v>6</v>
      </c>
      <c r="BO112" s="18" t="str">
        <f>IF(BN112&lt;=4,"F",IF(BN112&lt;=4.5,"P",IF(BN112&lt;=5.5,"C",IF(BN112&lt;=6.5,"B",IF(BN112&lt;=7.5,"B+",IF(BN112&lt;=8.5,"A",IF(BN112&lt;=9.5,"A+","O")))))))</f>
        <v>B</v>
      </c>
      <c r="BP112" s="14" t="str">
        <f>IF(BN112&lt;=4,"50",IF(BN112&lt;=4.5,"50-54.99",IF(BN112&lt;=5.5,"55-59.99",IF(BN112&lt;=6.5,"60-64.99",IF(BN112&lt;=7.5,"65-69.99",IF(BN112&lt;=8.5,"70-74.99",IF(BN112&lt;=9.5,"75-79.99","10")))))))</f>
        <v>60-64.99</v>
      </c>
      <c r="BS112">
        <f>RANK(BN112,$BN$3:$BN$135)</f>
        <v>107</v>
      </c>
    </row>
    <row r="113" spans="1:71" x14ac:dyDescent="0.25">
      <c r="A113" s="14" t="str">
        <f>[2]Sheet1!$A58</f>
        <v>MMS18-20/057</v>
      </c>
      <c r="B113" s="15" t="str">
        <f>[2]Sheet1!$B58</f>
        <v>/SHAMBHARKAR PALLAVI JAGDISH MINAKSHI</v>
      </c>
      <c r="C113" s="16">
        <f>'[3]1st Subject'!$C59</f>
        <v>25</v>
      </c>
      <c r="D113" s="16">
        <f>'[3]1st Subject'!$D59</f>
        <v>35</v>
      </c>
      <c r="E113" s="27">
        <f>D113+C113</f>
        <v>60</v>
      </c>
      <c r="F113" s="18" t="str">
        <f>IF(E113&lt;50,"F",IF(E113&lt;=54.99,"P",IF(E113&lt;=59.99,"C",IF(E113&lt;=64.99,"B",IF(E113&lt;=69.99,"B+",IF(E113&lt;=74.99,"A",IF(E113&lt;=79.99,"A+","O")))))))</f>
        <v>B</v>
      </c>
      <c r="G113" s="18" t="str">
        <f>IF(E113&lt;50,"0",IF(E113&lt;=54.99,"4",IF(E113&lt;=59.99,"5",IF(E113&lt;=64.99,"6",IF(E113&lt;=69.99,"7",IF(E113&lt;=74.99,"8",IF(E113&lt;=79.99,"9","10")))))))</f>
        <v>6</v>
      </c>
      <c r="H113" s="28">
        <v>4</v>
      </c>
      <c r="I113" s="29">
        <f>G113*H113</f>
        <v>24</v>
      </c>
      <c r="J113" s="16">
        <f>'[4]2nd Subject'!$C59</f>
        <v>25</v>
      </c>
      <c r="K113" s="16">
        <f>'[4]2nd Subject'!$D59</f>
        <v>35</v>
      </c>
      <c r="L113" s="27">
        <f>K113+J113</f>
        <v>60</v>
      </c>
      <c r="M113" s="18" t="str">
        <f>IF(L113&lt;50,"F",IF(L113&lt;=54.99,"P",IF(L113&lt;=59.99,"C",IF(L113&lt;=64.99,"B",IF(L113&lt;=69.99,"B+",IF(L113&lt;=74.99,"A",IF(L113&lt;=79.99,"A+","O")))))))</f>
        <v>B</v>
      </c>
      <c r="N113" s="18" t="str">
        <f>IF(L113&lt;50,"0",IF(L113&lt;=54.99,"4",IF(L113&lt;=59.99,"5",IF(L113&lt;=64.99,"6",IF(L113&lt;=69.99,"7",IF(L113&lt;=74.99,"8",IF(L113&lt;=79.99,"9","10")))))))</f>
        <v>6</v>
      </c>
      <c r="O113" s="28">
        <v>4</v>
      </c>
      <c r="P113" s="29">
        <f>N113*O113</f>
        <v>24</v>
      </c>
      <c r="Q113" s="21">
        <f>'[5]3rd Subject'!$C59</f>
        <v>25</v>
      </c>
      <c r="R113" s="21">
        <f>'[5]3rd Subject'!$D59</f>
        <v>35</v>
      </c>
      <c r="S113" s="27">
        <f>R113+Q113</f>
        <v>60</v>
      </c>
      <c r="T113" s="18" t="str">
        <f>IF(S113&lt;50,"F",IF(S113&lt;=54.99,"P",IF(S113&lt;=59.99,"C",IF(S113&lt;=64.99,"B",IF(S113&lt;=69.99,"B+",IF(S113&lt;=74.99,"A",IF(S113&lt;=79.99,"A+","O")))))))</f>
        <v>B</v>
      </c>
      <c r="U113" s="18" t="str">
        <f>IF(S113&lt;50,"0",IF(S113&lt;=54.99,"4",IF(S113&lt;=59.99,"5",IF(S113&lt;=64.99,"6",IF(S113&lt;=69.99,"7",IF(S113&lt;=74.99,"8",IF(S113&lt;=79.99,"9","10")))))))</f>
        <v>6</v>
      </c>
      <c r="V113" s="28">
        <v>4</v>
      </c>
      <c r="W113" s="29">
        <f>U113*V113</f>
        <v>24</v>
      </c>
      <c r="X113" s="22">
        <f>'[6]4th Subject'!$C59</f>
        <v>25</v>
      </c>
      <c r="Y113" s="23">
        <f>'[6]4th Subject'!$D59</f>
        <v>35</v>
      </c>
      <c r="Z113" s="27">
        <f>Y113+X113</f>
        <v>60</v>
      </c>
      <c r="AA113" s="18" t="str">
        <f>IF(Z113&lt;50,"F",IF(Z113&lt;=54.99,"P",IF(Z113&lt;=59.99,"C",IF(Z113&lt;=64.99,"B",IF(Z113&lt;=69.99,"B+",IF(Z113&lt;=74.99,"A",IF(Z113&lt;=79.99,"A+","O")))))))</f>
        <v>B</v>
      </c>
      <c r="AB113" s="18" t="str">
        <f>IF(Z113&lt;50,"0",IF(Z113&lt;=54.99,"4",IF(Z113&lt;=59.99,"5",IF(Z113&lt;=64.99,"6",IF(Z113&lt;=69.99,"7",IF(Z113&lt;=74.99,"8",IF(Z113&lt;=79.99,"9","10")))))))</f>
        <v>6</v>
      </c>
      <c r="AC113" s="28">
        <v>4</v>
      </c>
      <c r="AD113" s="29">
        <f>AB113*AC113</f>
        <v>24</v>
      </c>
      <c r="AE113" s="22">
        <f>'[7]5th Subject'!$C59</f>
        <v>25</v>
      </c>
      <c r="AF113" s="23">
        <f>'[7]5th Subject'!$D59</f>
        <v>35</v>
      </c>
      <c r="AG113" s="27">
        <f>AF113+AE113</f>
        <v>60</v>
      </c>
      <c r="AH113" s="18" t="str">
        <f>IF(AG113&lt;50,"F",IF(AG113&lt;=54.99,"P",IF(AG113&lt;=59.99,"C",IF(AG113&lt;=64.99,"B",IF(AG113&lt;=69.99,"B+",IF(AG113&lt;=74.99,"A",IF(AG113&lt;=79.99,"A+","O")))))))</f>
        <v>B</v>
      </c>
      <c r="AI113" s="18" t="str">
        <f>IF(AG113&lt;50,"0",IF(AG113&lt;=54.99,"4",IF(AG113&lt;=59.99,"5",IF(AG113&lt;=64.99,"6",IF(AG113&lt;=69.99,"7",IF(AG113&lt;=74.99,"8",IF(AG113&lt;=79.99,"9","10")))))))</f>
        <v>6</v>
      </c>
      <c r="AJ113" s="28">
        <v>4</v>
      </c>
      <c r="AK113" s="29">
        <f>AI113*AJ113</f>
        <v>24</v>
      </c>
      <c r="AL113" s="22">
        <f>'[8]6th Subject'!$C59</f>
        <v>25</v>
      </c>
      <c r="AM113" s="22">
        <f>'[8]6th Subject'!$D59</f>
        <v>35</v>
      </c>
      <c r="AN113" s="27">
        <f>AM113+AL113</f>
        <v>60</v>
      </c>
      <c r="AO113" s="18" t="str">
        <f>IF(AN113&lt;50,"F",IF(AN113&lt;=54.99,"P",IF(AN113&lt;=59.99,"C",IF(AN113&lt;=64.99,"B",IF(AN113&lt;=69.99,"B+",IF(AN113&lt;=74.99,"A",IF(AN113&lt;=79.99,"A+","O")))))))</f>
        <v>B</v>
      </c>
      <c r="AP113" s="18" t="str">
        <f>IF(AN113&lt;50,"0",IF(AN113&lt;=54.99,"4",IF(AN113&lt;=59.99,"5",IF(AN113&lt;=64.99,"6",IF(AN113&lt;=69.99,"7",IF(AN113&lt;=74.99,"8",IF(AN113&lt;=79.99,"9","10")))))))</f>
        <v>6</v>
      </c>
      <c r="AQ113" s="28">
        <v>4</v>
      </c>
      <c r="AR113" s="29">
        <f>AP113*AQ113</f>
        <v>24</v>
      </c>
      <c r="AS113" s="16">
        <f>'[9]7th Subject'!$C59</f>
        <v>25</v>
      </c>
      <c r="AT113" s="16">
        <f>'[9]7th Subject'!$D59</f>
        <v>35</v>
      </c>
      <c r="AU113" s="27">
        <f>AT113+AS113</f>
        <v>60</v>
      </c>
      <c r="AV113" s="18" t="str">
        <f>IF(AU113&lt;50,"F",IF(AU113&lt;=54.99,"P",IF(AU113&lt;=59.99,"C",IF(AU113&lt;=64.99,"B",IF(AU113&lt;=69.99,"B+",IF(AU113&lt;=74.99,"A",IF(AU113&lt;=79.99,"A+","O")))))))</f>
        <v>B</v>
      </c>
      <c r="AW113" s="18" t="str">
        <f>IF(AU113&lt;50,"0",IF(AU113&lt;=54.99,"4",IF(AU113&lt;=59.99,"5",IF(AU113&lt;=64.99,"6",IF(AU113&lt;=69.99,"7",IF(AU113&lt;=74.99,"8",IF(AU113&lt;=79.99,"9","10")))))))</f>
        <v>6</v>
      </c>
      <c r="AX113" s="28">
        <v>4</v>
      </c>
      <c r="AY113" s="29">
        <f>AW113*AX113</f>
        <v>24</v>
      </c>
      <c r="AZ113" s="22">
        <f>'[10]8th Subject'!$C59</f>
        <v>25</v>
      </c>
      <c r="BA113" s="22">
        <f>'[10]8th Subject'!$D59</f>
        <v>35</v>
      </c>
      <c r="BB113" s="27">
        <f>BA113+AZ113</f>
        <v>60</v>
      </c>
      <c r="BC113" s="18" t="str">
        <f>IF(BB113&lt;50,"F",IF(BB113&lt;=54.99,"P",IF(BB113&lt;=59.99,"C",IF(BB113&lt;=64.99,"B",IF(BB113&lt;=69.99,"B+",IF(BB113&lt;=74.99,"A",IF(BB113&lt;=79.99,"A+","O")))))))</f>
        <v>B</v>
      </c>
      <c r="BD113" s="18" t="str">
        <f>IF(BB113&lt;50,"0",IF(BB113&lt;=54.99,"4",IF(BB113&lt;=59.99,"5",IF(BB113&lt;=64.99,"6",IF(BB113&lt;=69.99,"7",IF(BB113&lt;=74.99,"8",IF(BB113&lt;=79.99,"9","10")))))))</f>
        <v>6</v>
      </c>
      <c r="BE113" s="28">
        <v>4</v>
      </c>
      <c r="BF113" s="29">
        <f>BD113*BE113</f>
        <v>24</v>
      </c>
      <c r="BG113" s="27">
        <f>AZ113+AS113+AE113+X113+J113+C113+Q113+AL113</f>
        <v>200</v>
      </c>
      <c r="BH113" s="27">
        <f>BA113+AT113+AF113+Y113+K113+D113+R113+AM113</f>
        <v>280</v>
      </c>
      <c r="BI113" s="27">
        <f>BH113+BG113</f>
        <v>480</v>
      </c>
      <c r="BJ113" s="30">
        <f>G113+N113+U113+AB113+AI113+AP113+BD113+AW113</f>
        <v>48</v>
      </c>
      <c r="BK113" s="30">
        <f>I113+P113+W113+AD113+AK113+AY113+BF113+AR113</f>
        <v>192</v>
      </c>
      <c r="BL113" s="25">
        <f>(BN113-0.75)*10</f>
        <v>52.5</v>
      </c>
      <c r="BM113" s="17" t="str">
        <f>IF(OR(C113&lt;20,D113&lt;30,J113&lt;20,K113&lt;30,Q113&lt;20,R113&lt;30,X113&lt;20,Y113&lt;30,AE113&lt;20,AF113&lt;30,AL113&lt;20,AM113&lt;30,AS113&lt;20,AT113&lt;30,AZ113&lt;20,BA113&lt;30),"Unsuccessful","Successful")</f>
        <v>Successful</v>
      </c>
      <c r="BN113" s="31">
        <f>BK113/32</f>
        <v>6</v>
      </c>
      <c r="BO113" s="18" t="str">
        <f>IF(BN113&lt;=4,"F",IF(BN113&lt;=4.5,"P",IF(BN113&lt;=5.5,"C",IF(BN113&lt;=6.5,"B",IF(BN113&lt;=7.5,"B+",IF(BN113&lt;=8.5,"A",IF(BN113&lt;=9.5,"A+","O")))))))</f>
        <v>B</v>
      </c>
      <c r="BP113" s="14" t="str">
        <f>IF(BN113&lt;=4,"50",IF(BN113&lt;=4.5,"50-54.99",IF(BN113&lt;=5.5,"55-59.99",IF(BN113&lt;=6.5,"60-64.99",IF(BN113&lt;=7.5,"65-69.99",IF(BN113&lt;=8.5,"70-74.99",IF(BN113&lt;=9.5,"75-79.99","10")))))))</f>
        <v>60-64.99</v>
      </c>
      <c r="BS113">
        <f>RANK(BN113,$BN$3:$BN$135)</f>
        <v>107</v>
      </c>
    </row>
    <row r="114" spans="1:71" x14ac:dyDescent="0.25">
      <c r="A114" s="14" t="str">
        <f>[2]Sheet1!$A69</f>
        <v>MMS18-20/068</v>
      </c>
      <c r="B114" s="15" t="str">
        <f>[2]Sheet1!$B69</f>
        <v>GUPTA AAYUSH NEELKAMAL MANSHA</v>
      </c>
      <c r="C114" s="16">
        <f>'[3]1st Subject'!$C70</f>
        <v>25</v>
      </c>
      <c r="D114" s="16">
        <f>'[3]1st Subject'!$D70</f>
        <v>35</v>
      </c>
      <c r="E114" s="27">
        <f>D114+C114</f>
        <v>60</v>
      </c>
      <c r="F114" s="18" t="str">
        <f>IF(E114&lt;50,"F",IF(E114&lt;=54.99,"P",IF(E114&lt;=59.99,"C",IF(E114&lt;=64.99,"B",IF(E114&lt;=69.99,"B+",IF(E114&lt;=74.99,"A",IF(E114&lt;=79.99,"A+","O")))))))</f>
        <v>B</v>
      </c>
      <c r="G114" s="18" t="str">
        <f>IF(E114&lt;50,"0",IF(E114&lt;=54.99,"4",IF(E114&lt;=59.99,"5",IF(E114&lt;=64.99,"6",IF(E114&lt;=69.99,"7",IF(E114&lt;=74.99,"8",IF(E114&lt;=79.99,"9","10")))))))</f>
        <v>6</v>
      </c>
      <c r="H114" s="28">
        <v>4</v>
      </c>
      <c r="I114" s="29">
        <f>G114*H114</f>
        <v>24</v>
      </c>
      <c r="J114" s="16">
        <f>'[4]2nd Subject'!$C70</f>
        <v>25</v>
      </c>
      <c r="K114" s="16">
        <f>'[4]2nd Subject'!$D70</f>
        <v>35</v>
      </c>
      <c r="L114" s="27">
        <f>K114+J114</f>
        <v>60</v>
      </c>
      <c r="M114" s="18" t="str">
        <f>IF(L114&lt;50,"F",IF(L114&lt;=54.99,"P",IF(L114&lt;=59.99,"C",IF(L114&lt;=64.99,"B",IF(L114&lt;=69.99,"B+",IF(L114&lt;=74.99,"A",IF(L114&lt;=79.99,"A+","O")))))))</f>
        <v>B</v>
      </c>
      <c r="N114" s="18" t="str">
        <f>IF(L114&lt;50,"0",IF(L114&lt;=54.99,"4",IF(L114&lt;=59.99,"5",IF(L114&lt;=64.99,"6",IF(L114&lt;=69.99,"7",IF(L114&lt;=74.99,"8",IF(L114&lt;=79.99,"9","10")))))))</f>
        <v>6</v>
      </c>
      <c r="O114" s="28">
        <v>4</v>
      </c>
      <c r="P114" s="29">
        <f>N114*O114</f>
        <v>24</v>
      </c>
      <c r="Q114" s="21">
        <f>'[5]3rd Subject'!$C70</f>
        <v>25</v>
      </c>
      <c r="R114" s="21">
        <f>'[5]3rd Subject'!$D70</f>
        <v>35</v>
      </c>
      <c r="S114" s="27">
        <f>R114+Q114</f>
        <v>60</v>
      </c>
      <c r="T114" s="18" t="str">
        <f>IF(S114&lt;50,"F",IF(S114&lt;=54.99,"P",IF(S114&lt;=59.99,"C",IF(S114&lt;=64.99,"B",IF(S114&lt;=69.99,"B+",IF(S114&lt;=74.99,"A",IF(S114&lt;=79.99,"A+","O")))))))</f>
        <v>B</v>
      </c>
      <c r="U114" s="18" t="str">
        <f>IF(S114&lt;50,"0",IF(S114&lt;=54.99,"4",IF(S114&lt;=59.99,"5",IF(S114&lt;=64.99,"6",IF(S114&lt;=69.99,"7",IF(S114&lt;=74.99,"8",IF(S114&lt;=79.99,"9","10")))))))</f>
        <v>6</v>
      </c>
      <c r="V114" s="28">
        <v>4</v>
      </c>
      <c r="W114" s="29">
        <f>U114*V114</f>
        <v>24</v>
      </c>
      <c r="X114" s="22">
        <f>'[6]4th Subject'!$C70</f>
        <v>25</v>
      </c>
      <c r="Y114" s="23">
        <f>'[6]4th Subject'!$D70</f>
        <v>35</v>
      </c>
      <c r="Z114" s="27">
        <f>Y114+X114</f>
        <v>60</v>
      </c>
      <c r="AA114" s="18" t="str">
        <f>IF(Z114&lt;50,"F",IF(Z114&lt;=54.99,"P",IF(Z114&lt;=59.99,"C",IF(Z114&lt;=64.99,"B",IF(Z114&lt;=69.99,"B+",IF(Z114&lt;=74.99,"A",IF(Z114&lt;=79.99,"A+","O")))))))</f>
        <v>B</v>
      </c>
      <c r="AB114" s="18" t="str">
        <f>IF(Z114&lt;50,"0",IF(Z114&lt;=54.99,"4",IF(Z114&lt;=59.99,"5",IF(Z114&lt;=64.99,"6",IF(Z114&lt;=69.99,"7",IF(Z114&lt;=74.99,"8",IF(Z114&lt;=79.99,"9","10")))))))</f>
        <v>6</v>
      </c>
      <c r="AC114" s="28">
        <v>4</v>
      </c>
      <c r="AD114" s="29">
        <f>AB114*AC114</f>
        <v>24</v>
      </c>
      <c r="AE114" s="22">
        <f>'[7]5th Subject'!$C70</f>
        <v>25</v>
      </c>
      <c r="AF114" s="23">
        <f>'[7]5th Subject'!$D70</f>
        <v>35</v>
      </c>
      <c r="AG114" s="27">
        <f>AF114+AE114</f>
        <v>60</v>
      </c>
      <c r="AH114" s="18" t="str">
        <f>IF(AG114&lt;50,"F",IF(AG114&lt;=54.99,"P",IF(AG114&lt;=59.99,"C",IF(AG114&lt;=64.99,"B",IF(AG114&lt;=69.99,"B+",IF(AG114&lt;=74.99,"A",IF(AG114&lt;=79.99,"A+","O")))))))</f>
        <v>B</v>
      </c>
      <c r="AI114" s="18" t="str">
        <f>IF(AG114&lt;50,"0",IF(AG114&lt;=54.99,"4",IF(AG114&lt;=59.99,"5",IF(AG114&lt;=64.99,"6",IF(AG114&lt;=69.99,"7",IF(AG114&lt;=74.99,"8",IF(AG114&lt;=79.99,"9","10")))))))</f>
        <v>6</v>
      </c>
      <c r="AJ114" s="28">
        <v>4</v>
      </c>
      <c r="AK114" s="29">
        <f>AI114*AJ114</f>
        <v>24</v>
      </c>
      <c r="AL114" s="22">
        <f>'[8]6th Subject'!$C70</f>
        <v>25</v>
      </c>
      <c r="AM114" s="22">
        <f>'[8]6th Subject'!$D70</f>
        <v>35</v>
      </c>
      <c r="AN114" s="27">
        <f>AM114+AL114</f>
        <v>60</v>
      </c>
      <c r="AO114" s="18" t="str">
        <f>IF(AN114&lt;50,"F",IF(AN114&lt;=54.99,"P",IF(AN114&lt;=59.99,"C",IF(AN114&lt;=64.99,"B",IF(AN114&lt;=69.99,"B+",IF(AN114&lt;=74.99,"A",IF(AN114&lt;=79.99,"A+","O")))))))</f>
        <v>B</v>
      </c>
      <c r="AP114" s="18" t="str">
        <f>IF(AN114&lt;50,"0",IF(AN114&lt;=54.99,"4",IF(AN114&lt;=59.99,"5",IF(AN114&lt;=64.99,"6",IF(AN114&lt;=69.99,"7",IF(AN114&lt;=74.99,"8",IF(AN114&lt;=79.99,"9","10")))))))</f>
        <v>6</v>
      </c>
      <c r="AQ114" s="28">
        <v>4</v>
      </c>
      <c r="AR114" s="29">
        <f>AP114*AQ114</f>
        <v>24</v>
      </c>
      <c r="AS114" s="16">
        <f>'[9]7th Subject'!$C70</f>
        <v>25</v>
      </c>
      <c r="AT114" s="16">
        <f>'[9]7th Subject'!$D70</f>
        <v>35</v>
      </c>
      <c r="AU114" s="27">
        <f>AT114+AS114</f>
        <v>60</v>
      </c>
      <c r="AV114" s="18" t="str">
        <f>IF(AU114&lt;50,"F",IF(AU114&lt;=54.99,"P",IF(AU114&lt;=59.99,"C",IF(AU114&lt;=64.99,"B",IF(AU114&lt;=69.99,"B+",IF(AU114&lt;=74.99,"A",IF(AU114&lt;=79.99,"A+","O")))))))</f>
        <v>B</v>
      </c>
      <c r="AW114" s="18" t="str">
        <f>IF(AU114&lt;50,"0",IF(AU114&lt;=54.99,"4",IF(AU114&lt;=59.99,"5",IF(AU114&lt;=64.99,"6",IF(AU114&lt;=69.99,"7",IF(AU114&lt;=74.99,"8",IF(AU114&lt;=79.99,"9","10")))))))</f>
        <v>6</v>
      </c>
      <c r="AX114" s="28">
        <v>4</v>
      </c>
      <c r="AY114" s="29">
        <f>AW114*AX114</f>
        <v>24</v>
      </c>
      <c r="AZ114" s="22">
        <f>'[10]8th Subject'!$C70</f>
        <v>25</v>
      </c>
      <c r="BA114" s="22">
        <f>'[10]8th Subject'!$D70</f>
        <v>35</v>
      </c>
      <c r="BB114" s="27">
        <f>BA114+AZ114</f>
        <v>60</v>
      </c>
      <c r="BC114" s="18" t="str">
        <f>IF(BB114&lt;50,"F",IF(BB114&lt;=54.99,"P",IF(BB114&lt;=59.99,"C",IF(BB114&lt;=64.99,"B",IF(BB114&lt;=69.99,"B+",IF(BB114&lt;=74.99,"A",IF(BB114&lt;=79.99,"A+","O")))))))</f>
        <v>B</v>
      </c>
      <c r="BD114" s="18" t="str">
        <f>IF(BB114&lt;50,"0",IF(BB114&lt;=54.99,"4",IF(BB114&lt;=59.99,"5",IF(BB114&lt;=64.99,"6",IF(BB114&lt;=69.99,"7",IF(BB114&lt;=74.99,"8",IF(BB114&lt;=79.99,"9","10")))))))</f>
        <v>6</v>
      </c>
      <c r="BE114" s="28">
        <v>4</v>
      </c>
      <c r="BF114" s="29">
        <f>BD114*BE114</f>
        <v>24</v>
      </c>
      <c r="BG114" s="27">
        <f>AZ114+AS114+AE114+X114+J114+C114+Q114+AL114</f>
        <v>200</v>
      </c>
      <c r="BH114" s="27">
        <f>BA114+AT114+AF114+Y114+K114+D114+R114+AM114</f>
        <v>280</v>
      </c>
      <c r="BI114" s="27">
        <f>BH114+BG114</f>
        <v>480</v>
      </c>
      <c r="BJ114" s="30">
        <f>G114+N114+U114+AB114+AI114+AP114+BD114+AW114</f>
        <v>48</v>
      </c>
      <c r="BK114" s="30">
        <f>I114+P114+W114+AD114+AK114+AY114+BF114+AR114</f>
        <v>192</v>
      </c>
      <c r="BL114" s="25">
        <f>(BN114-0.75)*10</f>
        <v>52.5</v>
      </c>
      <c r="BM114" s="17" t="str">
        <f>IF(OR(C114&lt;20,D114&lt;30,J114&lt;20,K114&lt;30,Q114&lt;20,R114&lt;30,X114&lt;20,Y114&lt;30,AE114&lt;20,AF114&lt;30,AL114&lt;20,AM114&lt;30,AS114&lt;20,AT114&lt;30,AZ114&lt;20,BA114&lt;30),"Unsuccessful","Successful")</f>
        <v>Successful</v>
      </c>
      <c r="BN114" s="31">
        <f>BK114/32</f>
        <v>6</v>
      </c>
      <c r="BO114" s="18" t="str">
        <f>IF(BN114&lt;=4,"F",IF(BN114&lt;=4.5,"P",IF(BN114&lt;=5.5,"C",IF(BN114&lt;=6.5,"B",IF(BN114&lt;=7.5,"B+",IF(BN114&lt;=8.5,"A",IF(BN114&lt;=9.5,"A+","O")))))))</f>
        <v>B</v>
      </c>
      <c r="BP114" s="14" t="str">
        <f>IF(BN114&lt;=4,"50",IF(BN114&lt;=4.5,"50-54.99",IF(BN114&lt;=5.5,"55-59.99",IF(BN114&lt;=6.5,"60-64.99",IF(BN114&lt;=7.5,"65-69.99",IF(BN114&lt;=8.5,"70-74.99",IF(BN114&lt;=9.5,"75-79.99","10")))))))</f>
        <v>60-64.99</v>
      </c>
      <c r="BS114">
        <f>RANK(BN114,$BN$3:$BN$135)</f>
        <v>107</v>
      </c>
    </row>
    <row r="115" spans="1:71" x14ac:dyDescent="0.25">
      <c r="A115" s="14" t="str">
        <f>[2]Sheet1!$A80</f>
        <v>MMS18-20/079</v>
      </c>
      <c r="B115" s="15" t="str">
        <f>[2]Sheet1!$B80</f>
        <v>PATEL PRAGNESH KISHORBHAI DAMYANTIBEN</v>
      </c>
      <c r="C115" s="16">
        <f>'[3]1st Subject'!$C81</f>
        <v>25</v>
      </c>
      <c r="D115" s="16">
        <f>'[3]1st Subject'!$D81</f>
        <v>35</v>
      </c>
      <c r="E115" s="27">
        <f>D115+C115</f>
        <v>60</v>
      </c>
      <c r="F115" s="18" t="str">
        <f>IF(E115&lt;50,"F",IF(E115&lt;=54.99,"P",IF(E115&lt;=59.99,"C",IF(E115&lt;=64.99,"B",IF(E115&lt;=69.99,"B+",IF(E115&lt;=74.99,"A",IF(E115&lt;=79.99,"A+","O")))))))</f>
        <v>B</v>
      </c>
      <c r="G115" s="18" t="str">
        <f>IF(E115&lt;50,"0",IF(E115&lt;=54.99,"4",IF(E115&lt;=59.99,"5",IF(E115&lt;=64.99,"6",IF(E115&lt;=69.99,"7",IF(E115&lt;=74.99,"8",IF(E115&lt;=79.99,"9","10")))))))</f>
        <v>6</v>
      </c>
      <c r="H115" s="28">
        <v>4</v>
      </c>
      <c r="I115" s="29">
        <f>G115*H115</f>
        <v>24</v>
      </c>
      <c r="J115" s="16">
        <f>'[4]2nd Subject'!$C81</f>
        <v>25</v>
      </c>
      <c r="K115" s="16">
        <f>'[4]2nd Subject'!$D81</f>
        <v>35</v>
      </c>
      <c r="L115" s="27">
        <f>K115+J115</f>
        <v>60</v>
      </c>
      <c r="M115" s="18" t="str">
        <f>IF(L115&lt;50,"F",IF(L115&lt;=54.99,"P",IF(L115&lt;=59.99,"C",IF(L115&lt;=64.99,"B",IF(L115&lt;=69.99,"B+",IF(L115&lt;=74.99,"A",IF(L115&lt;=79.99,"A+","O")))))))</f>
        <v>B</v>
      </c>
      <c r="N115" s="18" t="str">
        <f>IF(L115&lt;50,"0",IF(L115&lt;=54.99,"4",IF(L115&lt;=59.99,"5",IF(L115&lt;=64.99,"6",IF(L115&lt;=69.99,"7",IF(L115&lt;=74.99,"8",IF(L115&lt;=79.99,"9","10")))))))</f>
        <v>6</v>
      </c>
      <c r="O115" s="28">
        <v>4</v>
      </c>
      <c r="P115" s="29">
        <f>N115*O115</f>
        <v>24</v>
      </c>
      <c r="Q115" s="21">
        <f>'[5]3rd Subject'!$C81</f>
        <v>25</v>
      </c>
      <c r="R115" s="21">
        <f>'[5]3rd Subject'!$D81</f>
        <v>35</v>
      </c>
      <c r="S115" s="27">
        <f>R115+Q115</f>
        <v>60</v>
      </c>
      <c r="T115" s="18" t="str">
        <f>IF(S115&lt;50,"F",IF(S115&lt;=54.99,"P",IF(S115&lt;=59.99,"C",IF(S115&lt;=64.99,"B",IF(S115&lt;=69.99,"B+",IF(S115&lt;=74.99,"A",IF(S115&lt;=79.99,"A+","O")))))))</f>
        <v>B</v>
      </c>
      <c r="U115" s="18" t="str">
        <f>IF(S115&lt;50,"0",IF(S115&lt;=54.99,"4",IF(S115&lt;=59.99,"5",IF(S115&lt;=64.99,"6",IF(S115&lt;=69.99,"7",IF(S115&lt;=74.99,"8",IF(S115&lt;=79.99,"9","10")))))))</f>
        <v>6</v>
      </c>
      <c r="V115" s="28">
        <v>4</v>
      </c>
      <c r="W115" s="29">
        <f>U115*V115</f>
        <v>24</v>
      </c>
      <c r="X115" s="22">
        <f>'[6]4th Subject'!$C81</f>
        <v>25</v>
      </c>
      <c r="Y115" s="23">
        <f>'[6]4th Subject'!$D81</f>
        <v>35</v>
      </c>
      <c r="Z115" s="27">
        <f>Y115+X115</f>
        <v>60</v>
      </c>
      <c r="AA115" s="18" t="str">
        <f>IF(Z115&lt;50,"F",IF(Z115&lt;=54.99,"P",IF(Z115&lt;=59.99,"C",IF(Z115&lt;=64.99,"B",IF(Z115&lt;=69.99,"B+",IF(Z115&lt;=74.99,"A",IF(Z115&lt;=79.99,"A+","O")))))))</f>
        <v>B</v>
      </c>
      <c r="AB115" s="18" t="str">
        <f>IF(Z115&lt;50,"0",IF(Z115&lt;=54.99,"4",IF(Z115&lt;=59.99,"5",IF(Z115&lt;=64.99,"6",IF(Z115&lt;=69.99,"7",IF(Z115&lt;=74.99,"8",IF(Z115&lt;=79.99,"9","10")))))))</f>
        <v>6</v>
      </c>
      <c r="AC115" s="28">
        <v>4</v>
      </c>
      <c r="AD115" s="29">
        <f>AB115*AC115</f>
        <v>24</v>
      </c>
      <c r="AE115" s="22">
        <f>'[7]5th Subject'!$C81</f>
        <v>25</v>
      </c>
      <c r="AF115" s="23">
        <f>'[7]5th Subject'!$D81</f>
        <v>35</v>
      </c>
      <c r="AG115" s="27">
        <f>AF115+AE115</f>
        <v>60</v>
      </c>
      <c r="AH115" s="18" t="str">
        <f>IF(AG115&lt;50,"F",IF(AG115&lt;=54.99,"P",IF(AG115&lt;=59.99,"C",IF(AG115&lt;=64.99,"B",IF(AG115&lt;=69.99,"B+",IF(AG115&lt;=74.99,"A",IF(AG115&lt;=79.99,"A+","O")))))))</f>
        <v>B</v>
      </c>
      <c r="AI115" s="18" t="str">
        <f>IF(AG115&lt;50,"0",IF(AG115&lt;=54.99,"4",IF(AG115&lt;=59.99,"5",IF(AG115&lt;=64.99,"6",IF(AG115&lt;=69.99,"7",IF(AG115&lt;=74.99,"8",IF(AG115&lt;=79.99,"9","10")))))))</f>
        <v>6</v>
      </c>
      <c r="AJ115" s="28">
        <v>4</v>
      </c>
      <c r="AK115" s="29">
        <f>AI115*AJ115</f>
        <v>24</v>
      </c>
      <c r="AL115" s="22">
        <f>'[8]6th Subject'!$C81</f>
        <v>25</v>
      </c>
      <c r="AM115" s="22">
        <f>'[8]6th Subject'!$D81</f>
        <v>35</v>
      </c>
      <c r="AN115" s="27">
        <f>AM115+AL115</f>
        <v>60</v>
      </c>
      <c r="AO115" s="18" t="str">
        <f>IF(AN115&lt;50,"F",IF(AN115&lt;=54.99,"P",IF(AN115&lt;=59.99,"C",IF(AN115&lt;=64.99,"B",IF(AN115&lt;=69.99,"B+",IF(AN115&lt;=74.99,"A",IF(AN115&lt;=79.99,"A+","O")))))))</f>
        <v>B</v>
      </c>
      <c r="AP115" s="18" t="str">
        <f>IF(AN115&lt;50,"0",IF(AN115&lt;=54.99,"4",IF(AN115&lt;=59.99,"5",IF(AN115&lt;=64.99,"6",IF(AN115&lt;=69.99,"7",IF(AN115&lt;=74.99,"8",IF(AN115&lt;=79.99,"9","10")))))))</f>
        <v>6</v>
      </c>
      <c r="AQ115" s="28">
        <v>4</v>
      </c>
      <c r="AR115" s="29">
        <f>AP115*AQ115</f>
        <v>24</v>
      </c>
      <c r="AS115" s="16">
        <f>'[9]7th Subject'!$C81</f>
        <v>25</v>
      </c>
      <c r="AT115" s="16">
        <f>'[9]7th Subject'!$D81</f>
        <v>35</v>
      </c>
      <c r="AU115" s="27">
        <f>AT115+AS115</f>
        <v>60</v>
      </c>
      <c r="AV115" s="18" t="str">
        <f>IF(AU115&lt;50,"F",IF(AU115&lt;=54.99,"P",IF(AU115&lt;=59.99,"C",IF(AU115&lt;=64.99,"B",IF(AU115&lt;=69.99,"B+",IF(AU115&lt;=74.99,"A",IF(AU115&lt;=79.99,"A+","O")))))))</f>
        <v>B</v>
      </c>
      <c r="AW115" s="18" t="str">
        <f>IF(AU115&lt;50,"0",IF(AU115&lt;=54.99,"4",IF(AU115&lt;=59.99,"5",IF(AU115&lt;=64.99,"6",IF(AU115&lt;=69.99,"7",IF(AU115&lt;=74.99,"8",IF(AU115&lt;=79.99,"9","10")))))))</f>
        <v>6</v>
      </c>
      <c r="AX115" s="28">
        <v>4</v>
      </c>
      <c r="AY115" s="29">
        <f>AW115*AX115</f>
        <v>24</v>
      </c>
      <c r="AZ115" s="22">
        <f>'[10]8th Subject'!$C81</f>
        <v>25</v>
      </c>
      <c r="BA115" s="22">
        <f>'[10]8th Subject'!$D81</f>
        <v>35</v>
      </c>
      <c r="BB115" s="27">
        <f>BA115+AZ115</f>
        <v>60</v>
      </c>
      <c r="BC115" s="18" t="str">
        <f>IF(BB115&lt;50,"F",IF(BB115&lt;=54.99,"P",IF(BB115&lt;=59.99,"C",IF(BB115&lt;=64.99,"B",IF(BB115&lt;=69.99,"B+",IF(BB115&lt;=74.99,"A",IF(BB115&lt;=79.99,"A+","O")))))))</f>
        <v>B</v>
      </c>
      <c r="BD115" s="18" t="str">
        <f>IF(BB115&lt;50,"0",IF(BB115&lt;=54.99,"4",IF(BB115&lt;=59.99,"5",IF(BB115&lt;=64.99,"6",IF(BB115&lt;=69.99,"7",IF(BB115&lt;=74.99,"8",IF(BB115&lt;=79.99,"9","10")))))))</f>
        <v>6</v>
      </c>
      <c r="BE115" s="28">
        <v>4</v>
      </c>
      <c r="BF115" s="29">
        <f>BD115*BE115</f>
        <v>24</v>
      </c>
      <c r="BG115" s="27">
        <f>AZ115+AS115+AE115+X115+J115+C115+Q115+AL115</f>
        <v>200</v>
      </c>
      <c r="BH115" s="27">
        <f>BA115+AT115+AF115+Y115+K115+D115+R115+AM115</f>
        <v>280</v>
      </c>
      <c r="BI115" s="27">
        <f>BH115+BG115</f>
        <v>480</v>
      </c>
      <c r="BJ115" s="30">
        <f>G115+N115+U115+AB115+AI115+AP115+BD115+AW115</f>
        <v>48</v>
      </c>
      <c r="BK115" s="30">
        <f>I115+P115+W115+AD115+AK115+AY115+BF115+AR115</f>
        <v>192</v>
      </c>
      <c r="BL115" s="25">
        <f>(BN115-0.75)*10</f>
        <v>52.5</v>
      </c>
      <c r="BM115" s="17" t="str">
        <f>IF(OR(C115&lt;20,D115&lt;30,J115&lt;20,K115&lt;30,Q115&lt;20,R115&lt;30,X115&lt;20,Y115&lt;30,AE115&lt;20,AF115&lt;30,AL115&lt;20,AM115&lt;30,AS115&lt;20,AT115&lt;30,AZ115&lt;20,BA115&lt;30),"Unsuccessful","Successful")</f>
        <v>Successful</v>
      </c>
      <c r="BN115" s="31">
        <f>BK115/32</f>
        <v>6</v>
      </c>
      <c r="BO115" s="18" t="str">
        <f>IF(BN115&lt;=4,"F",IF(BN115&lt;=4.5,"P",IF(BN115&lt;=5.5,"C",IF(BN115&lt;=6.5,"B",IF(BN115&lt;=7.5,"B+",IF(BN115&lt;=8.5,"A",IF(BN115&lt;=9.5,"A+","O")))))))</f>
        <v>B</v>
      </c>
      <c r="BP115" s="14" t="str">
        <f>IF(BN115&lt;=4,"50",IF(BN115&lt;=4.5,"50-54.99",IF(BN115&lt;=5.5,"55-59.99",IF(BN115&lt;=6.5,"60-64.99",IF(BN115&lt;=7.5,"65-69.99",IF(BN115&lt;=8.5,"70-74.99",IF(BN115&lt;=9.5,"75-79.99","10")))))))</f>
        <v>60-64.99</v>
      </c>
      <c r="BS115">
        <f>RANK(BN115,$BN$3:$BN$135)</f>
        <v>107</v>
      </c>
    </row>
    <row r="116" spans="1:71" x14ac:dyDescent="0.25">
      <c r="A116" s="14" t="str">
        <f>[2]Sheet1!$A91</f>
        <v>MMS18-20/090</v>
      </c>
      <c r="B116" s="15" t="str">
        <f>[2]Sheet1!$B91</f>
        <v>/SARMALKAR SANIKA SUNILDATTA MANISHA</v>
      </c>
      <c r="C116" s="16">
        <f>'[3]1st Subject'!$C92</f>
        <v>25</v>
      </c>
      <c r="D116" s="16">
        <f>'[3]1st Subject'!$D92</f>
        <v>35</v>
      </c>
      <c r="E116" s="27">
        <f>D116+C116</f>
        <v>60</v>
      </c>
      <c r="F116" s="18" t="str">
        <f>IF(E116&lt;50,"F",IF(E116&lt;=54.99,"P",IF(E116&lt;=59.99,"C",IF(E116&lt;=64.99,"B",IF(E116&lt;=69.99,"B+",IF(E116&lt;=74.99,"A",IF(E116&lt;=79.99,"A+","O")))))))</f>
        <v>B</v>
      </c>
      <c r="G116" s="18" t="str">
        <f>IF(E116&lt;50,"0",IF(E116&lt;=54.99,"4",IF(E116&lt;=59.99,"5",IF(E116&lt;=64.99,"6",IF(E116&lt;=69.99,"7",IF(E116&lt;=74.99,"8",IF(E116&lt;=79.99,"9","10")))))))</f>
        <v>6</v>
      </c>
      <c r="H116" s="28">
        <v>4</v>
      </c>
      <c r="I116" s="29">
        <f>G116*H116</f>
        <v>24</v>
      </c>
      <c r="J116" s="16">
        <f>'[4]2nd Subject'!$C92</f>
        <v>25</v>
      </c>
      <c r="K116" s="16">
        <f>'[4]2nd Subject'!$D92</f>
        <v>35</v>
      </c>
      <c r="L116" s="27">
        <f>K116+J116</f>
        <v>60</v>
      </c>
      <c r="M116" s="18" t="str">
        <f>IF(L116&lt;50,"F",IF(L116&lt;=54.99,"P",IF(L116&lt;=59.99,"C",IF(L116&lt;=64.99,"B",IF(L116&lt;=69.99,"B+",IF(L116&lt;=74.99,"A",IF(L116&lt;=79.99,"A+","O")))))))</f>
        <v>B</v>
      </c>
      <c r="N116" s="18" t="str">
        <f>IF(L116&lt;50,"0",IF(L116&lt;=54.99,"4",IF(L116&lt;=59.99,"5",IF(L116&lt;=64.99,"6",IF(L116&lt;=69.99,"7",IF(L116&lt;=74.99,"8",IF(L116&lt;=79.99,"9","10")))))))</f>
        <v>6</v>
      </c>
      <c r="O116" s="28">
        <v>4</v>
      </c>
      <c r="P116" s="29">
        <f>N116*O116</f>
        <v>24</v>
      </c>
      <c r="Q116" s="21">
        <f>'[5]3rd Subject'!$C92</f>
        <v>25</v>
      </c>
      <c r="R116" s="21">
        <f>'[5]3rd Subject'!$D92</f>
        <v>35</v>
      </c>
      <c r="S116" s="27">
        <f>R116+Q116</f>
        <v>60</v>
      </c>
      <c r="T116" s="18" t="str">
        <f>IF(S116&lt;50,"F",IF(S116&lt;=54.99,"P",IF(S116&lt;=59.99,"C",IF(S116&lt;=64.99,"B",IF(S116&lt;=69.99,"B+",IF(S116&lt;=74.99,"A",IF(S116&lt;=79.99,"A+","O")))))))</f>
        <v>B</v>
      </c>
      <c r="U116" s="18" t="str">
        <f>IF(S116&lt;50,"0",IF(S116&lt;=54.99,"4",IF(S116&lt;=59.99,"5",IF(S116&lt;=64.99,"6",IF(S116&lt;=69.99,"7",IF(S116&lt;=74.99,"8",IF(S116&lt;=79.99,"9","10")))))))</f>
        <v>6</v>
      </c>
      <c r="V116" s="28">
        <v>4</v>
      </c>
      <c r="W116" s="29">
        <f>U116*V116</f>
        <v>24</v>
      </c>
      <c r="X116" s="22">
        <f>'[6]4th Subject'!$C92</f>
        <v>25</v>
      </c>
      <c r="Y116" s="23">
        <f>'[6]4th Subject'!$D92</f>
        <v>35</v>
      </c>
      <c r="Z116" s="27">
        <f>Y116+X116</f>
        <v>60</v>
      </c>
      <c r="AA116" s="18" t="str">
        <f>IF(Z116&lt;50,"F",IF(Z116&lt;=54.99,"P",IF(Z116&lt;=59.99,"C",IF(Z116&lt;=64.99,"B",IF(Z116&lt;=69.99,"B+",IF(Z116&lt;=74.99,"A",IF(Z116&lt;=79.99,"A+","O")))))))</f>
        <v>B</v>
      </c>
      <c r="AB116" s="18" t="str">
        <f>IF(Z116&lt;50,"0",IF(Z116&lt;=54.99,"4",IF(Z116&lt;=59.99,"5",IF(Z116&lt;=64.99,"6",IF(Z116&lt;=69.99,"7",IF(Z116&lt;=74.99,"8",IF(Z116&lt;=79.99,"9","10")))))))</f>
        <v>6</v>
      </c>
      <c r="AC116" s="28">
        <v>4</v>
      </c>
      <c r="AD116" s="29">
        <f>AB116*AC116</f>
        <v>24</v>
      </c>
      <c r="AE116" s="22">
        <f>'[7]5th Subject'!$C92</f>
        <v>25</v>
      </c>
      <c r="AF116" s="23">
        <f>'[7]5th Subject'!$D92</f>
        <v>35</v>
      </c>
      <c r="AG116" s="27">
        <f>AF116+AE116</f>
        <v>60</v>
      </c>
      <c r="AH116" s="18" t="str">
        <f>IF(AG116&lt;50,"F",IF(AG116&lt;=54.99,"P",IF(AG116&lt;=59.99,"C",IF(AG116&lt;=64.99,"B",IF(AG116&lt;=69.99,"B+",IF(AG116&lt;=74.99,"A",IF(AG116&lt;=79.99,"A+","O")))))))</f>
        <v>B</v>
      </c>
      <c r="AI116" s="18" t="str">
        <f>IF(AG116&lt;50,"0",IF(AG116&lt;=54.99,"4",IF(AG116&lt;=59.99,"5",IF(AG116&lt;=64.99,"6",IF(AG116&lt;=69.99,"7",IF(AG116&lt;=74.99,"8",IF(AG116&lt;=79.99,"9","10")))))))</f>
        <v>6</v>
      </c>
      <c r="AJ116" s="28">
        <v>4</v>
      </c>
      <c r="AK116" s="29">
        <f>AI116*AJ116</f>
        <v>24</v>
      </c>
      <c r="AL116" s="22">
        <f>'[8]6th Subject'!$C92</f>
        <v>25</v>
      </c>
      <c r="AM116" s="22">
        <f>'[8]6th Subject'!$D92</f>
        <v>35</v>
      </c>
      <c r="AN116" s="27">
        <f>AM116+AL116</f>
        <v>60</v>
      </c>
      <c r="AO116" s="18" t="str">
        <f>IF(AN116&lt;50,"F",IF(AN116&lt;=54.99,"P",IF(AN116&lt;=59.99,"C",IF(AN116&lt;=64.99,"B",IF(AN116&lt;=69.99,"B+",IF(AN116&lt;=74.99,"A",IF(AN116&lt;=79.99,"A+","O")))))))</f>
        <v>B</v>
      </c>
      <c r="AP116" s="18" t="str">
        <f>IF(AN116&lt;50,"0",IF(AN116&lt;=54.99,"4",IF(AN116&lt;=59.99,"5",IF(AN116&lt;=64.99,"6",IF(AN116&lt;=69.99,"7",IF(AN116&lt;=74.99,"8",IF(AN116&lt;=79.99,"9","10")))))))</f>
        <v>6</v>
      </c>
      <c r="AQ116" s="28">
        <v>4</v>
      </c>
      <c r="AR116" s="29">
        <f>AP116*AQ116</f>
        <v>24</v>
      </c>
      <c r="AS116" s="16">
        <f>'[9]7th Subject'!$C92</f>
        <v>25</v>
      </c>
      <c r="AT116" s="16">
        <f>'[9]7th Subject'!$D92</f>
        <v>35</v>
      </c>
      <c r="AU116" s="27">
        <f>AT116+AS116</f>
        <v>60</v>
      </c>
      <c r="AV116" s="18" t="str">
        <f>IF(AU116&lt;50,"F",IF(AU116&lt;=54.99,"P",IF(AU116&lt;=59.99,"C",IF(AU116&lt;=64.99,"B",IF(AU116&lt;=69.99,"B+",IF(AU116&lt;=74.99,"A",IF(AU116&lt;=79.99,"A+","O")))))))</f>
        <v>B</v>
      </c>
      <c r="AW116" s="18" t="str">
        <f>IF(AU116&lt;50,"0",IF(AU116&lt;=54.99,"4",IF(AU116&lt;=59.99,"5",IF(AU116&lt;=64.99,"6",IF(AU116&lt;=69.99,"7",IF(AU116&lt;=74.99,"8",IF(AU116&lt;=79.99,"9","10")))))))</f>
        <v>6</v>
      </c>
      <c r="AX116" s="28">
        <v>4</v>
      </c>
      <c r="AY116" s="29">
        <f>AW116*AX116</f>
        <v>24</v>
      </c>
      <c r="AZ116" s="22">
        <f>'[10]8th Subject'!$C92</f>
        <v>25</v>
      </c>
      <c r="BA116" s="22">
        <f>'[10]8th Subject'!$D92</f>
        <v>35</v>
      </c>
      <c r="BB116" s="27">
        <f>BA116+AZ116</f>
        <v>60</v>
      </c>
      <c r="BC116" s="18" t="str">
        <f>IF(BB116&lt;50,"F",IF(BB116&lt;=54.99,"P",IF(BB116&lt;=59.99,"C",IF(BB116&lt;=64.99,"B",IF(BB116&lt;=69.99,"B+",IF(BB116&lt;=74.99,"A",IF(BB116&lt;=79.99,"A+","O")))))))</f>
        <v>B</v>
      </c>
      <c r="BD116" s="18" t="str">
        <f>IF(BB116&lt;50,"0",IF(BB116&lt;=54.99,"4",IF(BB116&lt;=59.99,"5",IF(BB116&lt;=64.99,"6",IF(BB116&lt;=69.99,"7",IF(BB116&lt;=74.99,"8",IF(BB116&lt;=79.99,"9","10")))))))</f>
        <v>6</v>
      </c>
      <c r="BE116" s="28">
        <v>4</v>
      </c>
      <c r="BF116" s="29">
        <f>BD116*BE116</f>
        <v>24</v>
      </c>
      <c r="BG116" s="27">
        <f>AZ116+AS116+AE116+X116+J116+C116+Q116+AL116</f>
        <v>200</v>
      </c>
      <c r="BH116" s="27">
        <f>BA116+AT116+AF116+Y116+K116+D116+R116+AM116</f>
        <v>280</v>
      </c>
      <c r="BI116" s="27">
        <f>BH116+BG116</f>
        <v>480</v>
      </c>
      <c r="BJ116" s="30">
        <f>G116+N116+U116+AB116+AI116+AP116+BD116+AW116</f>
        <v>48</v>
      </c>
      <c r="BK116" s="30">
        <f>I116+P116+W116+AD116+AK116+AY116+BF116+AR116</f>
        <v>192</v>
      </c>
      <c r="BL116" s="25">
        <f>(BN116-0.75)*10</f>
        <v>52.5</v>
      </c>
      <c r="BM116" s="17" t="str">
        <f>IF(OR(C116&lt;20,D116&lt;30,J116&lt;20,K116&lt;30,Q116&lt;20,R116&lt;30,X116&lt;20,Y116&lt;30,AE116&lt;20,AF116&lt;30,AL116&lt;20,AM116&lt;30,AS116&lt;20,AT116&lt;30,AZ116&lt;20,BA116&lt;30),"Unsuccessful","Successful")</f>
        <v>Successful</v>
      </c>
      <c r="BN116" s="31">
        <f>BK116/32</f>
        <v>6</v>
      </c>
      <c r="BO116" s="18" t="str">
        <f>IF(BN116&lt;=4,"F",IF(BN116&lt;=4.5,"P",IF(BN116&lt;=5.5,"C",IF(BN116&lt;=6.5,"B",IF(BN116&lt;=7.5,"B+",IF(BN116&lt;=8.5,"A",IF(BN116&lt;=9.5,"A+","O")))))))</f>
        <v>B</v>
      </c>
      <c r="BP116" s="14" t="str">
        <f>IF(BN116&lt;=4,"50",IF(BN116&lt;=4.5,"50-54.99",IF(BN116&lt;=5.5,"55-59.99",IF(BN116&lt;=6.5,"60-64.99",IF(BN116&lt;=7.5,"65-69.99",IF(BN116&lt;=8.5,"70-74.99",IF(BN116&lt;=9.5,"75-79.99","10")))))))</f>
        <v>60-64.99</v>
      </c>
      <c r="BS116">
        <f>RANK(BN116,$BN$3:$BN$135)</f>
        <v>107</v>
      </c>
    </row>
    <row r="117" spans="1:71" x14ac:dyDescent="0.25">
      <c r="A117" s="14" t="str">
        <f>[2]Sheet1!$A102</f>
        <v>MMS18-20/101</v>
      </c>
      <c r="B117" s="15" t="str">
        <f>[2]Sheet1!$B102</f>
        <v>/SHIVKAR PRIYANKA JANARDHAN REKHA</v>
      </c>
      <c r="C117" s="16">
        <f>'[3]1st Subject'!$C103</f>
        <v>25</v>
      </c>
      <c r="D117" s="16">
        <f>'[3]1st Subject'!$D103</f>
        <v>35</v>
      </c>
      <c r="E117" s="27">
        <f>D117+C117</f>
        <v>60</v>
      </c>
      <c r="F117" s="18" t="str">
        <f>IF(E117&lt;50,"F",IF(E117&lt;=54.99,"P",IF(E117&lt;=59.99,"C",IF(E117&lt;=64.99,"B",IF(E117&lt;=69.99,"B+",IF(E117&lt;=74.99,"A",IF(E117&lt;=79.99,"A+","O")))))))</f>
        <v>B</v>
      </c>
      <c r="G117" s="18" t="str">
        <f>IF(E117&lt;50,"0",IF(E117&lt;=54.99,"4",IF(E117&lt;=59.99,"5",IF(E117&lt;=64.99,"6",IF(E117&lt;=69.99,"7",IF(E117&lt;=74.99,"8",IF(E117&lt;=79.99,"9","10")))))))</f>
        <v>6</v>
      </c>
      <c r="H117" s="28">
        <v>4</v>
      </c>
      <c r="I117" s="29">
        <f>G117*H117</f>
        <v>24</v>
      </c>
      <c r="J117" s="16">
        <f>'[4]2nd Subject'!$C103</f>
        <v>25</v>
      </c>
      <c r="K117" s="16">
        <f>'[4]2nd Subject'!$D103</f>
        <v>35</v>
      </c>
      <c r="L117" s="27">
        <f>K117+J117</f>
        <v>60</v>
      </c>
      <c r="M117" s="18" t="str">
        <f>IF(L117&lt;50,"F",IF(L117&lt;=54.99,"P",IF(L117&lt;=59.99,"C",IF(L117&lt;=64.99,"B",IF(L117&lt;=69.99,"B+",IF(L117&lt;=74.99,"A",IF(L117&lt;=79.99,"A+","O")))))))</f>
        <v>B</v>
      </c>
      <c r="N117" s="18" t="str">
        <f>IF(L117&lt;50,"0",IF(L117&lt;=54.99,"4",IF(L117&lt;=59.99,"5",IF(L117&lt;=64.99,"6",IF(L117&lt;=69.99,"7",IF(L117&lt;=74.99,"8",IF(L117&lt;=79.99,"9","10")))))))</f>
        <v>6</v>
      </c>
      <c r="O117" s="28">
        <v>4</v>
      </c>
      <c r="P117" s="29">
        <f>N117*O117</f>
        <v>24</v>
      </c>
      <c r="Q117" s="21">
        <f>'[5]3rd Subject'!$C103</f>
        <v>25</v>
      </c>
      <c r="R117" s="21">
        <f>'[5]3rd Subject'!$D103</f>
        <v>35</v>
      </c>
      <c r="S117" s="27">
        <f>R117+Q117</f>
        <v>60</v>
      </c>
      <c r="T117" s="18" t="str">
        <f>IF(S117&lt;50,"F",IF(S117&lt;=54.99,"P",IF(S117&lt;=59.99,"C",IF(S117&lt;=64.99,"B",IF(S117&lt;=69.99,"B+",IF(S117&lt;=74.99,"A",IF(S117&lt;=79.99,"A+","O")))))))</f>
        <v>B</v>
      </c>
      <c r="U117" s="18" t="str">
        <f>IF(S117&lt;50,"0",IF(S117&lt;=54.99,"4",IF(S117&lt;=59.99,"5",IF(S117&lt;=64.99,"6",IF(S117&lt;=69.99,"7",IF(S117&lt;=74.99,"8",IF(S117&lt;=79.99,"9","10")))))))</f>
        <v>6</v>
      </c>
      <c r="V117" s="28">
        <v>4</v>
      </c>
      <c r="W117" s="29">
        <f>U117*V117</f>
        <v>24</v>
      </c>
      <c r="X117" s="22">
        <f>'[6]4th Subject'!$C103</f>
        <v>25</v>
      </c>
      <c r="Y117" s="23">
        <f>'[6]4th Subject'!$D103</f>
        <v>35</v>
      </c>
      <c r="Z117" s="27">
        <f>Y117+X117</f>
        <v>60</v>
      </c>
      <c r="AA117" s="18" t="str">
        <f>IF(Z117&lt;50,"F",IF(Z117&lt;=54.99,"P",IF(Z117&lt;=59.99,"C",IF(Z117&lt;=64.99,"B",IF(Z117&lt;=69.99,"B+",IF(Z117&lt;=74.99,"A",IF(Z117&lt;=79.99,"A+","O")))))))</f>
        <v>B</v>
      </c>
      <c r="AB117" s="18" t="str">
        <f>IF(Z117&lt;50,"0",IF(Z117&lt;=54.99,"4",IF(Z117&lt;=59.99,"5",IF(Z117&lt;=64.99,"6",IF(Z117&lt;=69.99,"7",IF(Z117&lt;=74.99,"8",IF(Z117&lt;=79.99,"9","10")))))))</f>
        <v>6</v>
      </c>
      <c r="AC117" s="28">
        <v>4</v>
      </c>
      <c r="AD117" s="29">
        <f>AB117*AC117</f>
        <v>24</v>
      </c>
      <c r="AE117" s="22">
        <f>'[7]5th Subject'!$C103</f>
        <v>25</v>
      </c>
      <c r="AF117" s="23">
        <f>'[7]5th Subject'!$D103</f>
        <v>35</v>
      </c>
      <c r="AG117" s="27">
        <f>AF117+AE117</f>
        <v>60</v>
      </c>
      <c r="AH117" s="18" t="str">
        <f>IF(AG117&lt;50,"F",IF(AG117&lt;=54.99,"P",IF(AG117&lt;=59.99,"C",IF(AG117&lt;=64.99,"B",IF(AG117&lt;=69.99,"B+",IF(AG117&lt;=74.99,"A",IF(AG117&lt;=79.99,"A+","O")))))))</f>
        <v>B</v>
      </c>
      <c r="AI117" s="18" t="str">
        <f>IF(AG117&lt;50,"0",IF(AG117&lt;=54.99,"4",IF(AG117&lt;=59.99,"5",IF(AG117&lt;=64.99,"6",IF(AG117&lt;=69.99,"7",IF(AG117&lt;=74.99,"8",IF(AG117&lt;=79.99,"9","10")))))))</f>
        <v>6</v>
      </c>
      <c r="AJ117" s="28">
        <v>4</v>
      </c>
      <c r="AK117" s="29">
        <f>AI117*AJ117</f>
        <v>24</v>
      </c>
      <c r="AL117" s="22">
        <f>'[8]6th Subject'!$C103</f>
        <v>25</v>
      </c>
      <c r="AM117" s="22">
        <f>'[8]6th Subject'!$D103</f>
        <v>35</v>
      </c>
      <c r="AN117" s="27">
        <f>AM117+AL117</f>
        <v>60</v>
      </c>
      <c r="AO117" s="18" t="str">
        <f>IF(AN117&lt;50,"F",IF(AN117&lt;=54.99,"P",IF(AN117&lt;=59.99,"C",IF(AN117&lt;=64.99,"B",IF(AN117&lt;=69.99,"B+",IF(AN117&lt;=74.99,"A",IF(AN117&lt;=79.99,"A+","O")))))))</f>
        <v>B</v>
      </c>
      <c r="AP117" s="18" t="str">
        <f>IF(AN117&lt;50,"0",IF(AN117&lt;=54.99,"4",IF(AN117&lt;=59.99,"5",IF(AN117&lt;=64.99,"6",IF(AN117&lt;=69.99,"7",IF(AN117&lt;=74.99,"8",IF(AN117&lt;=79.99,"9","10")))))))</f>
        <v>6</v>
      </c>
      <c r="AQ117" s="28">
        <v>4</v>
      </c>
      <c r="AR117" s="29">
        <f>AP117*AQ117</f>
        <v>24</v>
      </c>
      <c r="AS117" s="16">
        <f>'[9]7th Subject'!$C103</f>
        <v>25</v>
      </c>
      <c r="AT117" s="16">
        <f>'[9]7th Subject'!$D103</f>
        <v>35</v>
      </c>
      <c r="AU117" s="27">
        <f>AT117+AS117</f>
        <v>60</v>
      </c>
      <c r="AV117" s="18" t="str">
        <f>IF(AU117&lt;50,"F",IF(AU117&lt;=54.99,"P",IF(AU117&lt;=59.99,"C",IF(AU117&lt;=64.99,"B",IF(AU117&lt;=69.99,"B+",IF(AU117&lt;=74.99,"A",IF(AU117&lt;=79.99,"A+","O")))))))</f>
        <v>B</v>
      </c>
      <c r="AW117" s="18" t="str">
        <f>IF(AU117&lt;50,"0",IF(AU117&lt;=54.99,"4",IF(AU117&lt;=59.99,"5",IF(AU117&lt;=64.99,"6",IF(AU117&lt;=69.99,"7",IF(AU117&lt;=74.99,"8",IF(AU117&lt;=79.99,"9","10")))))))</f>
        <v>6</v>
      </c>
      <c r="AX117" s="28">
        <v>4</v>
      </c>
      <c r="AY117" s="29">
        <f>AW117*AX117</f>
        <v>24</v>
      </c>
      <c r="AZ117" s="22">
        <f>'[10]8th Subject'!$C103</f>
        <v>25</v>
      </c>
      <c r="BA117" s="22">
        <f>'[10]8th Subject'!$D103</f>
        <v>35</v>
      </c>
      <c r="BB117" s="27">
        <f>BA117+AZ117</f>
        <v>60</v>
      </c>
      <c r="BC117" s="18" t="str">
        <f>IF(BB117&lt;50,"F",IF(BB117&lt;=54.99,"P",IF(BB117&lt;=59.99,"C",IF(BB117&lt;=64.99,"B",IF(BB117&lt;=69.99,"B+",IF(BB117&lt;=74.99,"A",IF(BB117&lt;=79.99,"A+","O")))))))</f>
        <v>B</v>
      </c>
      <c r="BD117" s="18" t="str">
        <f>IF(BB117&lt;50,"0",IF(BB117&lt;=54.99,"4",IF(BB117&lt;=59.99,"5",IF(BB117&lt;=64.99,"6",IF(BB117&lt;=69.99,"7",IF(BB117&lt;=74.99,"8",IF(BB117&lt;=79.99,"9","10")))))))</f>
        <v>6</v>
      </c>
      <c r="BE117" s="28">
        <v>4</v>
      </c>
      <c r="BF117" s="29">
        <f>BD117*BE117</f>
        <v>24</v>
      </c>
      <c r="BG117" s="27">
        <f>AZ117+AS117+AE117+X117+J117+C117+Q117+AL117</f>
        <v>200</v>
      </c>
      <c r="BH117" s="27">
        <f>BA117+AT117+AF117+Y117+K117+D117+R117+AM117</f>
        <v>280</v>
      </c>
      <c r="BI117" s="27">
        <f>BH117+BG117</f>
        <v>480</v>
      </c>
      <c r="BJ117" s="30">
        <f>G117+N117+U117+AB117+AI117+AP117+BD117+AW117</f>
        <v>48</v>
      </c>
      <c r="BK117" s="30">
        <f>I117+P117+W117+AD117+AK117+AY117+BF117+AR117</f>
        <v>192</v>
      </c>
      <c r="BL117" s="25">
        <f>(BN117-0.75)*10</f>
        <v>52.5</v>
      </c>
      <c r="BM117" s="17" t="str">
        <f>IF(OR(C117&lt;20,D117&lt;30,J117&lt;20,K117&lt;30,Q117&lt;20,R117&lt;30,X117&lt;20,Y117&lt;30,AE117&lt;20,AF117&lt;30,AL117&lt;20,AM117&lt;30,AS117&lt;20,AT117&lt;30,AZ117&lt;20,BA117&lt;30),"Unsuccessful","Successful")</f>
        <v>Successful</v>
      </c>
      <c r="BN117" s="31">
        <f>BK117/32</f>
        <v>6</v>
      </c>
      <c r="BO117" s="18" t="str">
        <f>IF(BN117&lt;=4,"F",IF(BN117&lt;=4.5,"P",IF(BN117&lt;=5.5,"C",IF(BN117&lt;=6.5,"B",IF(BN117&lt;=7.5,"B+",IF(BN117&lt;=8.5,"A",IF(BN117&lt;=9.5,"A+","O")))))))</f>
        <v>B</v>
      </c>
      <c r="BP117" s="14" t="str">
        <f>IF(BN117&lt;=4,"50",IF(BN117&lt;=4.5,"50-54.99",IF(BN117&lt;=5.5,"55-59.99",IF(BN117&lt;=6.5,"60-64.99",IF(BN117&lt;=7.5,"65-69.99",IF(BN117&lt;=8.5,"70-74.99",IF(BN117&lt;=9.5,"75-79.99","10")))))))</f>
        <v>60-64.99</v>
      </c>
      <c r="BS117">
        <f>RANK(BN117,$BN$3:$BN$135)</f>
        <v>107</v>
      </c>
    </row>
    <row r="118" spans="1:71" x14ac:dyDescent="0.25">
      <c r="A118" s="14" t="str">
        <f>[2]Sheet1!$A113</f>
        <v>MMS18-20/112</v>
      </c>
      <c r="B118" s="15" t="str">
        <f>[2]Sheet1!$B113</f>
        <v>TREHAN VILAKSHAN SUMAN NEENA</v>
      </c>
      <c r="C118" s="16">
        <f>'[3]1st Subject'!$C114</f>
        <v>25</v>
      </c>
      <c r="D118" s="16">
        <f>'[3]1st Subject'!$D114</f>
        <v>35</v>
      </c>
      <c r="E118" s="27">
        <f>D118+C118</f>
        <v>60</v>
      </c>
      <c r="F118" s="18" t="str">
        <f>IF(E118&lt;50,"F",IF(E118&lt;=54.99,"P",IF(E118&lt;=59.99,"C",IF(E118&lt;=64.99,"B",IF(E118&lt;=69.99,"B+",IF(E118&lt;=74.99,"A",IF(E118&lt;=79.99,"A+","O")))))))</f>
        <v>B</v>
      </c>
      <c r="G118" s="18" t="str">
        <f>IF(E118&lt;50,"0",IF(E118&lt;=54.99,"4",IF(E118&lt;=59.99,"5",IF(E118&lt;=64.99,"6",IF(E118&lt;=69.99,"7",IF(E118&lt;=74.99,"8",IF(E118&lt;=79.99,"9","10")))))))</f>
        <v>6</v>
      </c>
      <c r="H118" s="28">
        <v>4</v>
      </c>
      <c r="I118" s="29">
        <f>G118*H118</f>
        <v>24</v>
      </c>
      <c r="J118" s="16">
        <f>'[4]2nd Subject'!$C114</f>
        <v>25</v>
      </c>
      <c r="K118" s="16">
        <f>'[4]2nd Subject'!$D114</f>
        <v>35</v>
      </c>
      <c r="L118" s="27">
        <f>K118+J118</f>
        <v>60</v>
      </c>
      <c r="M118" s="18" t="str">
        <f>IF(L118&lt;50,"F",IF(L118&lt;=54.99,"P",IF(L118&lt;=59.99,"C",IF(L118&lt;=64.99,"B",IF(L118&lt;=69.99,"B+",IF(L118&lt;=74.99,"A",IF(L118&lt;=79.99,"A+","O")))))))</f>
        <v>B</v>
      </c>
      <c r="N118" s="18" t="str">
        <f>IF(L118&lt;50,"0",IF(L118&lt;=54.99,"4",IF(L118&lt;=59.99,"5",IF(L118&lt;=64.99,"6",IF(L118&lt;=69.99,"7",IF(L118&lt;=74.99,"8",IF(L118&lt;=79.99,"9","10")))))))</f>
        <v>6</v>
      </c>
      <c r="O118" s="28">
        <v>4</v>
      </c>
      <c r="P118" s="29">
        <f>N118*O118</f>
        <v>24</v>
      </c>
      <c r="Q118" s="21">
        <f>'[5]3rd Subject'!$C114</f>
        <v>25</v>
      </c>
      <c r="R118" s="21">
        <f>'[5]3rd Subject'!$D114</f>
        <v>35</v>
      </c>
      <c r="S118" s="27">
        <f>R118+Q118</f>
        <v>60</v>
      </c>
      <c r="T118" s="18" t="str">
        <f>IF(S118&lt;50,"F",IF(S118&lt;=54.99,"P",IF(S118&lt;=59.99,"C",IF(S118&lt;=64.99,"B",IF(S118&lt;=69.99,"B+",IF(S118&lt;=74.99,"A",IF(S118&lt;=79.99,"A+","O")))))))</f>
        <v>B</v>
      </c>
      <c r="U118" s="18" t="str">
        <f>IF(S118&lt;50,"0",IF(S118&lt;=54.99,"4",IF(S118&lt;=59.99,"5",IF(S118&lt;=64.99,"6",IF(S118&lt;=69.99,"7",IF(S118&lt;=74.99,"8",IF(S118&lt;=79.99,"9","10")))))))</f>
        <v>6</v>
      </c>
      <c r="V118" s="28">
        <v>4</v>
      </c>
      <c r="W118" s="29">
        <f>U118*V118</f>
        <v>24</v>
      </c>
      <c r="X118" s="22">
        <f>'[6]4th Subject'!$C114</f>
        <v>25</v>
      </c>
      <c r="Y118" s="23">
        <f>'[6]4th Subject'!$D114</f>
        <v>35</v>
      </c>
      <c r="Z118" s="27">
        <f>Y118+X118</f>
        <v>60</v>
      </c>
      <c r="AA118" s="18" t="str">
        <f>IF(Z118&lt;50,"F",IF(Z118&lt;=54.99,"P",IF(Z118&lt;=59.99,"C",IF(Z118&lt;=64.99,"B",IF(Z118&lt;=69.99,"B+",IF(Z118&lt;=74.99,"A",IF(Z118&lt;=79.99,"A+","O")))))))</f>
        <v>B</v>
      </c>
      <c r="AB118" s="18" t="str">
        <f>IF(Z118&lt;50,"0",IF(Z118&lt;=54.99,"4",IF(Z118&lt;=59.99,"5",IF(Z118&lt;=64.99,"6",IF(Z118&lt;=69.99,"7",IF(Z118&lt;=74.99,"8",IF(Z118&lt;=79.99,"9","10")))))))</f>
        <v>6</v>
      </c>
      <c r="AC118" s="28">
        <v>4</v>
      </c>
      <c r="AD118" s="29">
        <f>AB118*AC118</f>
        <v>24</v>
      </c>
      <c r="AE118" s="22">
        <f>'[7]5th Subject'!$C114</f>
        <v>25</v>
      </c>
      <c r="AF118" s="23">
        <f>'[7]5th Subject'!$D114</f>
        <v>35</v>
      </c>
      <c r="AG118" s="27">
        <f>AF118+AE118</f>
        <v>60</v>
      </c>
      <c r="AH118" s="18" t="str">
        <f>IF(AG118&lt;50,"F",IF(AG118&lt;=54.99,"P",IF(AG118&lt;=59.99,"C",IF(AG118&lt;=64.99,"B",IF(AG118&lt;=69.99,"B+",IF(AG118&lt;=74.99,"A",IF(AG118&lt;=79.99,"A+","O")))))))</f>
        <v>B</v>
      </c>
      <c r="AI118" s="18" t="str">
        <f>IF(AG118&lt;50,"0",IF(AG118&lt;=54.99,"4",IF(AG118&lt;=59.99,"5",IF(AG118&lt;=64.99,"6",IF(AG118&lt;=69.99,"7",IF(AG118&lt;=74.99,"8",IF(AG118&lt;=79.99,"9","10")))))))</f>
        <v>6</v>
      </c>
      <c r="AJ118" s="28">
        <v>4</v>
      </c>
      <c r="AK118" s="29">
        <f>AI118*AJ118</f>
        <v>24</v>
      </c>
      <c r="AL118" s="22">
        <f>'[8]6th Subject'!$C114</f>
        <v>25</v>
      </c>
      <c r="AM118" s="22">
        <f>'[8]6th Subject'!$D114</f>
        <v>35</v>
      </c>
      <c r="AN118" s="27">
        <f>AM118+AL118</f>
        <v>60</v>
      </c>
      <c r="AO118" s="18" t="str">
        <f>IF(AN118&lt;50,"F",IF(AN118&lt;=54.99,"P",IF(AN118&lt;=59.99,"C",IF(AN118&lt;=64.99,"B",IF(AN118&lt;=69.99,"B+",IF(AN118&lt;=74.99,"A",IF(AN118&lt;=79.99,"A+","O")))))))</f>
        <v>B</v>
      </c>
      <c r="AP118" s="18" t="str">
        <f>IF(AN118&lt;50,"0",IF(AN118&lt;=54.99,"4",IF(AN118&lt;=59.99,"5",IF(AN118&lt;=64.99,"6",IF(AN118&lt;=69.99,"7",IF(AN118&lt;=74.99,"8",IF(AN118&lt;=79.99,"9","10")))))))</f>
        <v>6</v>
      </c>
      <c r="AQ118" s="28">
        <v>4</v>
      </c>
      <c r="AR118" s="29">
        <f>AP118*AQ118</f>
        <v>24</v>
      </c>
      <c r="AS118" s="16">
        <f>'[9]7th Subject'!$C114</f>
        <v>25</v>
      </c>
      <c r="AT118" s="16">
        <f>'[9]7th Subject'!$D114</f>
        <v>35</v>
      </c>
      <c r="AU118" s="27">
        <f>AT118+AS118</f>
        <v>60</v>
      </c>
      <c r="AV118" s="18" t="str">
        <f>IF(AU118&lt;50,"F",IF(AU118&lt;=54.99,"P",IF(AU118&lt;=59.99,"C",IF(AU118&lt;=64.99,"B",IF(AU118&lt;=69.99,"B+",IF(AU118&lt;=74.99,"A",IF(AU118&lt;=79.99,"A+","O")))))))</f>
        <v>B</v>
      </c>
      <c r="AW118" s="18" t="str">
        <f>IF(AU118&lt;50,"0",IF(AU118&lt;=54.99,"4",IF(AU118&lt;=59.99,"5",IF(AU118&lt;=64.99,"6",IF(AU118&lt;=69.99,"7",IF(AU118&lt;=74.99,"8",IF(AU118&lt;=79.99,"9","10")))))))</f>
        <v>6</v>
      </c>
      <c r="AX118" s="28">
        <v>4</v>
      </c>
      <c r="AY118" s="29">
        <f>AW118*AX118</f>
        <v>24</v>
      </c>
      <c r="AZ118" s="22">
        <f>'[10]8th Subject'!$C114</f>
        <v>25</v>
      </c>
      <c r="BA118" s="22">
        <f>'[10]8th Subject'!$D114</f>
        <v>35</v>
      </c>
      <c r="BB118" s="27">
        <f>BA118+AZ118</f>
        <v>60</v>
      </c>
      <c r="BC118" s="18" t="str">
        <f>IF(BB118&lt;50,"F",IF(BB118&lt;=54.99,"P",IF(BB118&lt;=59.99,"C",IF(BB118&lt;=64.99,"B",IF(BB118&lt;=69.99,"B+",IF(BB118&lt;=74.99,"A",IF(BB118&lt;=79.99,"A+","O")))))))</f>
        <v>B</v>
      </c>
      <c r="BD118" s="18" t="str">
        <f>IF(BB118&lt;50,"0",IF(BB118&lt;=54.99,"4",IF(BB118&lt;=59.99,"5",IF(BB118&lt;=64.99,"6",IF(BB118&lt;=69.99,"7",IF(BB118&lt;=74.99,"8",IF(BB118&lt;=79.99,"9","10")))))))</f>
        <v>6</v>
      </c>
      <c r="BE118" s="28">
        <v>4</v>
      </c>
      <c r="BF118" s="29">
        <f>BD118*BE118</f>
        <v>24</v>
      </c>
      <c r="BG118" s="27">
        <f>AZ118+AS118+AE118+X118+J118+C118+Q118+AL118</f>
        <v>200</v>
      </c>
      <c r="BH118" s="27">
        <f>BA118+AT118+AF118+Y118+K118+D118+R118+AM118</f>
        <v>280</v>
      </c>
      <c r="BI118" s="27">
        <f>BH118+BG118</f>
        <v>480</v>
      </c>
      <c r="BJ118" s="30">
        <f>G118+N118+U118+AB118+AI118+AP118+BD118+AW118</f>
        <v>48</v>
      </c>
      <c r="BK118" s="30">
        <f>I118+P118+W118+AD118+AK118+AY118+BF118+AR118</f>
        <v>192</v>
      </c>
      <c r="BL118" s="25">
        <f>(BN118-0.75)*10</f>
        <v>52.5</v>
      </c>
      <c r="BM118" s="17" t="str">
        <f>IF(OR(C118&lt;20,D118&lt;30,J118&lt;20,K118&lt;30,Q118&lt;20,R118&lt;30,X118&lt;20,Y118&lt;30,AE118&lt;20,AF118&lt;30,AL118&lt;20,AM118&lt;30,AS118&lt;20,AT118&lt;30,AZ118&lt;20,BA118&lt;30),"Unsuccessful","Successful")</f>
        <v>Successful</v>
      </c>
      <c r="BN118" s="31">
        <f>BK118/32</f>
        <v>6</v>
      </c>
      <c r="BO118" s="18" t="str">
        <f>IF(BN118&lt;=4,"F",IF(BN118&lt;=4.5,"P",IF(BN118&lt;=5.5,"C",IF(BN118&lt;=6.5,"B",IF(BN118&lt;=7.5,"B+",IF(BN118&lt;=8.5,"A",IF(BN118&lt;=9.5,"A+","O")))))))</f>
        <v>B</v>
      </c>
      <c r="BP118" s="14" t="str">
        <f>IF(BN118&lt;=4,"50",IF(BN118&lt;=4.5,"50-54.99",IF(BN118&lt;=5.5,"55-59.99",IF(BN118&lt;=6.5,"60-64.99",IF(BN118&lt;=7.5,"65-69.99",IF(BN118&lt;=8.5,"70-74.99",IF(BN118&lt;=9.5,"75-79.99","10")))))))</f>
        <v>60-64.99</v>
      </c>
      <c r="BS118">
        <f>RANK(BN118,$BN$3:$BN$135)</f>
        <v>107</v>
      </c>
    </row>
    <row r="119" spans="1:71" x14ac:dyDescent="0.25">
      <c r="A119" s="14" t="str">
        <f>[2]Sheet1!$A3</f>
        <v>MMS18-20/002</v>
      </c>
      <c r="B119" s="15" t="str">
        <f>[2]Sheet1!$B3</f>
        <v>/ADIVAREKAR PRITI GIRIGHAR NAMRATA</v>
      </c>
      <c r="C119" s="16">
        <f>'[3]1st Subject'!$C4</f>
        <v>19</v>
      </c>
      <c r="D119" s="16">
        <f>'[3]1st Subject'!$D4</f>
        <v>29</v>
      </c>
      <c r="E119" s="27">
        <f>D119+C119</f>
        <v>48</v>
      </c>
      <c r="F119" s="18" t="str">
        <f>IF(E119&lt;50,"F",IF(E119&lt;=54.99,"P",IF(E119&lt;=59.99,"C",IF(E119&lt;=64.99,"B",IF(E119&lt;=69.99,"B+",IF(E119&lt;=74.99,"A",IF(E119&lt;=79.99,"A+","O")))))))</f>
        <v>F</v>
      </c>
      <c r="G119" s="18" t="str">
        <f>IF(E119&lt;50,"0",IF(E119&lt;=54.99,"4",IF(E119&lt;=59.99,"5",IF(E119&lt;=64.99,"6",IF(E119&lt;=69.99,"7",IF(E119&lt;=74.99,"8",IF(E119&lt;=79.99,"9","10")))))))</f>
        <v>0</v>
      </c>
      <c r="H119" s="28">
        <v>4</v>
      </c>
      <c r="I119" s="29">
        <f>G119*H119</f>
        <v>0</v>
      </c>
      <c r="J119" s="16">
        <f>'[4]2nd Subject'!$C4</f>
        <v>25</v>
      </c>
      <c r="K119" s="16">
        <f>'[4]2nd Subject'!$D4</f>
        <v>35</v>
      </c>
      <c r="L119" s="27">
        <f>K119+J119</f>
        <v>60</v>
      </c>
      <c r="M119" s="18" t="str">
        <f>IF(L119&lt;50,"F",IF(L119&lt;=54.99,"P",IF(L119&lt;=59.99,"C",IF(L119&lt;=64.99,"B",IF(L119&lt;=69.99,"B+",IF(L119&lt;=74.99,"A",IF(L119&lt;=79.99,"A+","O")))))))</f>
        <v>B</v>
      </c>
      <c r="N119" s="18" t="str">
        <f>IF(L119&lt;50,"0",IF(L119&lt;=54.99,"4",IF(L119&lt;=59.99,"5",IF(L119&lt;=64.99,"6",IF(L119&lt;=69.99,"7",IF(L119&lt;=74.99,"8",IF(L119&lt;=79.99,"9","10")))))))</f>
        <v>6</v>
      </c>
      <c r="O119" s="28">
        <v>4</v>
      </c>
      <c r="P119" s="29">
        <f>N119*O119</f>
        <v>24</v>
      </c>
      <c r="Q119" s="21">
        <f>'[5]3rd Subject'!$C4</f>
        <v>25</v>
      </c>
      <c r="R119" s="21">
        <f>'[5]3rd Subject'!$D4</f>
        <v>35</v>
      </c>
      <c r="S119" s="27">
        <f>R119+Q119</f>
        <v>60</v>
      </c>
      <c r="T119" s="18" t="str">
        <f>IF(S119&lt;50,"F",IF(S119&lt;=54.99,"P",IF(S119&lt;=59.99,"C",IF(S119&lt;=64.99,"B",IF(S119&lt;=69.99,"B+",IF(S119&lt;=74.99,"A",IF(S119&lt;=79.99,"A+","O")))))))</f>
        <v>B</v>
      </c>
      <c r="U119" s="18" t="str">
        <f>IF(S119&lt;50,"0",IF(S119&lt;=54.99,"4",IF(S119&lt;=59.99,"5",IF(S119&lt;=64.99,"6",IF(S119&lt;=69.99,"7",IF(S119&lt;=74.99,"8",IF(S119&lt;=79.99,"9","10")))))))</f>
        <v>6</v>
      </c>
      <c r="V119" s="28">
        <v>4</v>
      </c>
      <c r="W119" s="29">
        <f>U119*V119</f>
        <v>24</v>
      </c>
      <c r="X119" s="22">
        <f>'[6]4th Subject'!$C4</f>
        <v>25</v>
      </c>
      <c r="Y119" s="23">
        <f>'[6]4th Subject'!$D4</f>
        <v>35</v>
      </c>
      <c r="Z119" s="27">
        <f>Y119+X119</f>
        <v>60</v>
      </c>
      <c r="AA119" s="18" t="str">
        <f>IF(Z119&lt;50,"F",IF(Z119&lt;=54.99,"P",IF(Z119&lt;=59.99,"C",IF(Z119&lt;=64.99,"B",IF(Z119&lt;=69.99,"B+",IF(Z119&lt;=74.99,"A",IF(Z119&lt;=79.99,"A+","O")))))))</f>
        <v>B</v>
      </c>
      <c r="AB119" s="18" t="str">
        <f>IF(Z119&lt;50,"0",IF(Z119&lt;=54.99,"4",IF(Z119&lt;=59.99,"5",IF(Z119&lt;=64.99,"6",IF(Z119&lt;=69.99,"7",IF(Z119&lt;=74.99,"8",IF(Z119&lt;=79.99,"9","10")))))))</f>
        <v>6</v>
      </c>
      <c r="AC119" s="28">
        <v>4</v>
      </c>
      <c r="AD119" s="29">
        <f>AB119*AC119</f>
        <v>24</v>
      </c>
      <c r="AE119" s="22">
        <f>'[7]5th Subject'!$C4</f>
        <v>25</v>
      </c>
      <c r="AF119" s="23">
        <f>'[7]5th Subject'!$D4</f>
        <v>35</v>
      </c>
      <c r="AG119" s="27">
        <f>AF119+AE119</f>
        <v>60</v>
      </c>
      <c r="AH119" s="18" t="str">
        <f>IF(AG119&lt;50,"F",IF(AG119&lt;=54.99,"P",IF(AG119&lt;=59.99,"C",IF(AG119&lt;=64.99,"B",IF(AG119&lt;=69.99,"B+",IF(AG119&lt;=74.99,"A",IF(AG119&lt;=79.99,"A+","O")))))))</f>
        <v>B</v>
      </c>
      <c r="AI119" s="18" t="str">
        <f>IF(AG119&lt;50,"0",IF(AG119&lt;=54.99,"4",IF(AG119&lt;=59.99,"5",IF(AG119&lt;=64.99,"6",IF(AG119&lt;=69.99,"7",IF(AG119&lt;=74.99,"8",IF(AG119&lt;=79.99,"9","10")))))))</f>
        <v>6</v>
      </c>
      <c r="AJ119" s="28">
        <v>4</v>
      </c>
      <c r="AK119" s="29">
        <f>AI119*AJ119</f>
        <v>24</v>
      </c>
      <c r="AL119" s="22">
        <f>'[8]6th Subject'!$C4</f>
        <v>25</v>
      </c>
      <c r="AM119" s="22">
        <f>'[8]6th Subject'!$D4</f>
        <v>35</v>
      </c>
      <c r="AN119" s="27">
        <f>AM119+AL119</f>
        <v>60</v>
      </c>
      <c r="AO119" s="18" t="str">
        <f>IF(AN119&lt;50,"F",IF(AN119&lt;=54.99,"P",IF(AN119&lt;=59.99,"C",IF(AN119&lt;=64.99,"B",IF(AN119&lt;=69.99,"B+",IF(AN119&lt;=74.99,"A",IF(AN119&lt;=79.99,"A+","O")))))))</f>
        <v>B</v>
      </c>
      <c r="AP119" s="18" t="str">
        <f>IF(AN119&lt;50,"0",IF(AN119&lt;=54.99,"4",IF(AN119&lt;=59.99,"5",IF(AN119&lt;=64.99,"6",IF(AN119&lt;=69.99,"7",IF(AN119&lt;=74.99,"8",IF(AN119&lt;=79.99,"9","10")))))))</f>
        <v>6</v>
      </c>
      <c r="AQ119" s="28">
        <v>4</v>
      </c>
      <c r="AR119" s="29">
        <f>AP119*AQ119</f>
        <v>24</v>
      </c>
      <c r="AS119" s="16">
        <f>'[9]7th Subject'!$C4</f>
        <v>25</v>
      </c>
      <c r="AT119" s="16">
        <f>'[9]7th Subject'!$D4</f>
        <v>35</v>
      </c>
      <c r="AU119" s="27">
        <f>AT119+AS119</f>
        <v>60</v>
      </c>
      <c r="AV119" s="18" t="str">
        <f>IF(AU119&lt;50,"F",IF(AU119&lt;=54.99,"P",IF(AU119&lt;=59.99,"C",IF(AU119&lt;=64.99,"B",IF(AU119&lt;=69.99,"B+",IF(AU119&lt;=74.99,"A",IF(AU119&lt;=79.99,"A+","O")))))))</f>
        <v>B</v>
      </c>
      <c r="AW119" s="18" t="str">
        <f>IF(AU119&lt;50,"0",IF(AU119&lt;=54.99,"4",IF(AU119&lt;=59.99,"5",IF(AU119&lt;=64.99,"6",IF(AU119&lt;=69.99,"7",IF(AU119&lt;=74.99,"8",IF(AU119&lt;=79.99,"9","10")))))))</f>
        <v>6</v>
      </c>
      <c r="AX119" s="28">
        <v>4</v>
      </c>
      <c r="AY119" s="29">
        <f>AW119*AX119</f>
        <v>24</v>
      </c>
      <c r="AZ119" s="22">
        <f>'[10]8th Subject'!$C4</f>
        <v>25</v>
      </c>
      <c r="BA119" s="22">
        <f>'[10]8th Subject'!$D4</f>
        <v>35</v>
      </c>
      <c r="BB119" s="27">
        <f>BA119+AZ119</f>
        <v>60</v>
      </c>
      <c r="BC119" s="18" t="str">
        <f>IF(BB119&lt;50,"F",IF(BB119&lt;=54.99,"P",IF(BB119&lt;=59.99,"C",IF(BB119&lt;=64.99,"B",IF(BB119&lt;=69.99,"B+",IF(BB119&lt;=74.99,"A",IF(BB119&lt;=79.99,"A+","O")))))))</f>
        <v>B</v>
      </c>
      <c r="BD119" s="18" t="str">
        <f>IF(BB119&lt;50,"0",IF(BB119&lt;=54.99,"4",IF(BB119&lt;=59.99,"5",IF(BB119&lt;=64.99,"6",IF(BB119&lt;=69.99,"7",IF(BB119&lt;=74.99,"8",IF(BB119&lt;=79.99,"9","10")))))))</f>
        <v>6</v>
      </c>
      <c r="BE119" s="28">
        <v>4</v>
      </c>
      <c r="BF119" s="29">
        <f>BD119*BE119</f>
        <v>24</v>
      </c>
      <c r="BG119" s="27">
        <f>AZ119+AS119+AE119+X119+J119+C119+Q119+AL119</f>
        <v>194</v>
      </c>
      <c r="BH119" s="27">
        <f>BA119+AT119+AF119+Y119+K119+D119+R119+AM119</f>
        <v>274</v>
      </c>
      <c r="BI119" s="27">
        <f>BH119+BG119</f>
        <v>468</v>
      </c>
      <c r="BJ119" s="30">
        <f>G119+N119+U119+AB119+AI119+AP119+BD119+AW119</f>
        <v>42</v>
      </c>
      <c r="BK119" s="30">
        <f>I119+P119+W119+AD119+AK119+AY119+BF119+AR119</f>
        <v>168</v>
      </c>
      <c r="BL119" s="25">
        <f>(BN119-0.75)*10</f>
        <v>45</v>
      </c>
      <c r="BM119" s="17" t="str">
        <f>IF(OR(C119&lt;20,D119&lt;30,J119&lt;20,K119&lt;30,Q119&lt;20,R119&lt;30,X119&lt;20,Y119&lt;30,AE119&lt;20,AF119&lt;30,AL119&lt;20,AM119&lt;30,AS119&lt;20,AT119&lt;30,AZ119&lt;20,BA119&lt;30),"Unsuccessful","Successful")</f>
        <v>Unsuccessful</v>
      </c>
      <c r="BN119" s="31">
        <f>BK119/32</f>
        <v>5.25</v>
      </c>
      <c r="BO119" s="18" t="str">
        <f>IF(BN119&lt;=4,"F",IF(BN119&lt;=4.5,"P",IF(BN119&lt;=5.5,"C",IF(BN119&lt;=6.5,"B",IF(BN119&lt;=7.5,"B+",IF(BN119&lt;=8.5,"A",IF(BN119&lt;=9.5,"A+","O")))))))</f>
        <v>C</v>
      </c>
      <c r="BP119" s="14" t="str">
        <f>IF(BN119&lt;=4,"50",IF(BN119&lt;=4.5,"50-54.99",IF(BN119&lt;=5.5,"55-59.99",IF(BN119&lt;=6.5,"60-64.99",IF(BN119&lt;=7.5,"65-69.99",IF(BN119&lt;=8.5,"70-74.99",IF(BN119&lt;=9.5,"75-79.99","10")))))))</f>
        <v>55-59.99</v>
      </c>
      <c r="BS119">
        <f>RANK(BN119,$BN$3:$BN$135)</f>
        <v>117</v>
      </c>
    </row>
    <row r="120" spans="1:71" x14ac:dyDescent="0.25">
      <c r="A120" s="14" t="str">
        <f>[2]Sheet1!$A23</f>
        <v>MMS18-20/022</v>
      </c>
      <c r="B120" s="15" t="str">
        <f>[2]Sheet1!$B23</f>
        <v>*** (NOT AVAILABLE) ***</v>
      </c>
      <c r="C120" s="16">
        <f>'[3]1st Subject'!$C24</f>
        <v>0</v>
      </c>
      <c r="D120" s="16">
        <f>'[3]1st Subject'!$D24</f>
        <v>0</v>
      </c>
      <c r="E120" s="27">
        <f>D120+C120</f>
        <v>0</v>
      </c>
      <c r="F120" s="18" t="str">
        <f>IF(E120&lt;50,"F",IF(E120&lt;=54.99,"P",IF(E120&lt;=59.99,"C",IF(E120&lt;=64.99,"B",IF(E120&lt;=69.99,"B+",IF(E120&lt;=74.99,"A",IF(E120&lt;=79.99,"A+","O")))))))</f>
        <v>F</v>
      </c>
      <c r="G120" s="18" t="str">
        <f>IF(E120&lt;50,"0",IF(E120&lt;=54.99,"4",IF(E120&lt;=59.99,"5",IF(E120&lt;=64.99,"6",IF(E120&lt;=69.99,"7",IF(E120&lt;=74.99,"8",IF(E120&lt;=79.99,"9","10")))))))</f>
        <v>0</v>
      </c>
      <c r="H120" s="28">
        <v>4</v>
      </c>
      <c r="I120" s="29">
        <f>G120*H120</f>
        <v>0</v>
      </c>
      <c r="J120" s="16">
        <f>'[4]2nd Subject'!$C24</f>
        <v>0</v>
      </c>
      <c r="K120" s="16">
        <f>'[4]2nd Subject'!$D24</f>
        <v>0</v>
      </c>
      <c r="L120" s="27">
        <f>K120+J120</f>
        <v>0</v>
      </c>
      <c r="M120" s="18" t="str">
        <f>IF(L120&lt;50,"F",IF(L120&lt;=54.99,"P",IF(L120&lt;=59.99,"C",IF(L120&lt;=64.99,"B",IF(L120&lt;=69.99,"B+",IF(L120&lt;=74.99,"A",IF(L120&lt;=79.99,"A+","O")))))))</f>
        <v>F</v>
      </c>
      <c r="N120" s="18" t="str">
        <f>IF(L120&lt;50,"0",IF(L120&lt;=54.99,"4",IF(L120&lt;=59.99,"5",IF(L120&lt;=64.99,"6",IF(L120&lt;=69.99,"7",IF(L120&lt;=74.99,"8",IF(L120&lt;=79.99,"9","10")))))))</f>
        <v>0</v>
      </c>
      <c r="O120" s="28">
        <v>4</v>
      </c>
      <c r="P120" s="29">
        <f>N120*O120</f>
        <v>0</v>
      </c>
      <c r="Q120" s="21">
        <f>'[5]3rd Subject'!$C24</f>
        <v>0</v>
      </c>
      <c r="R120" s="21">
        <f>'[5]3rd Subject'!$D24</f>
        <v>0</v>
      </c>
      <c r="S120" s="27">
        <f>R120+Q120</f>
        <v>0</v>
      </c>
      <c r="T120" s="18" t="str">
        <f>IF(S120&lt;50,"F",IF(S120&lt;=54.99,"P",IF(S120&lt;=59.99,"C",IF(S120&lt;=64.99,"B",IF(S120&lt;=69.99,"B+",IF(S120&lt;=74.99,"A",IF(S120&lt;=79.99,"A+","O")))))))</f>
        <v>F</v>
      </c>
      <c r="U120" s="18" t="str">
        <f>IF(S120&lt;50,"0",IF(S120&lt;=54.99,"4",IF(S120&lt;=59.99,"5",IF(S120&lt;=64.99,"6",IF(S120&lt;=69.99,"7",IF(S120&lt;=74.99,"8",IF(S120&lt;=79.99,"9","10")))))))</f>
        <v>0</v>
      </c>
      <c r="V120" s="28">
        <v>4</v>
      </c>
      <c r="W120" s="29">
        <f>U120*V120</f>
        <v>0</v>
      </c>
      <c r="X120" s="22">
        <f>'[6]4th Subject'!$C24</f>
        <v>0</v>
      </c>
      <c r="Y120" s="23">
        <f>'[6]4th Subject'!$D24</f>
        <v>0</v>
      </c>
      <c r="Z120" s="27">
        <f>Y120+X120</f>
        <v>0</v>
      </c>
      <c r="AA120" s="18" t="str">
        <f>IF(Z120&lt;50,"F",IF(Z120&lt;=54.99,"P",IF(Z120&lt;=59.99,"C",IF(Z120&lt;=64.99,"B",IF(Z120&lt;=69.99,"B+",IF(Z120&lt;=74.99,"A",IF(Z120&lt;=79.99,"A+","O")))))))</f>
        <v>F</v>
      </c>
      <c r="AB120" s="18" t="str">
        <f>IF(Z120&lt;50,"0",IF(Z120&lt;=54.99,"4",IF(Z120&lt;=59.99,"5",IF(Z120&lt;=64.99,"6",IF(Z120&lt;=69.99,"7",IF(Z120&lt;=74.99,"8",IF(Z120&lt;=79.99,"9","10")))))))</f>
        <v>0</v>
      </c>
      <c r="AC120" s="28">
        <v>4</v>
      </c>
      <c r="AD120" s="29">
        <f>AB120*AC120</f>
        <v>0</v>
      </c>
      <c r="AE120" s="22">
        <f>'[7]5th Subject'!$C24</f>
        <v>0</v>
      </c>
      <c r="AF120" s="23">
        <f>'[7]5th Subject'!$D24</f>
        <v>0</v>
      </c>
      <c r="AG120" s="27">
        <f>AF120+AE120</f>
        <v>0</v>
      </c>
      <c r="AH120" s="18" t="str">
        <f>IF(AG120&lt;50,"F",IF(AG120&lt;=54.99,"P",IF(AG120&lt;=59.99,"C",IF(AG120&lt;=64.99,"B",IF(AG120&lt;=69.99,"B+",IF(AG120&lt;=74.99,"A",IF(AG120&lt;=79.99,"A+","O")))))))</f>
        <v>F</v>
      </c>
      <c r="AI120" s="18" t="str">
        <f>IF(AG120&lt;50,"0",IF(AG120&lt;=54.99,"4",IF(AG120&lt;=59.99,"5",IF(AG120&lt;=64.99,"6",IF(AG120&lt;=69.99,"7",IF(AG120&lt;=74.99,"8",IF(AG120&lt;=79.99,"9","10")))))))</f>
        <v>0</v>
      </c>
      <c r="AJ120" s="28">
        <v>4</v>
      </c>
      <c r="AK120" s="29">
        <f>AI120*AJ120</f>
        <v>0</v>
      </c>
      <c r="AL120" s="22">
        <f>'[8]6th Subject'!$C24</f>
        <v>0</v>
      </c>
      <c r="AM120" s="22">
        <f>'[8]6th Subject'!$D24</f>
        <v>0</v>
      </c>
      <c r="AN120" s="27">
        <f>AM120+AL120</f>
        <v>0</v>
      </c>
      <c r="AO120" s="18" t="str">
        <f>IF(AN120&lt;50,"F",IF(AN120&lt;=54.99,"P",IF(AN120&lt;=59.99,"C",IF(AN120&lt;=64.99,"B",IF(AN120&lt;=69.99,"B+",IF(AN120&lt;=74.99,"A",IF(AN120&lt;=79.99,"A+","O")))))))</f>
        <v>F</v>
      </c>
      <c r="AP120" s="18" t="str">
        <f>IF(AN120&lt;50,"0",IF(AN120&lt;=54.99,"4",IF(AN120&lt;=59.99,"5",IF(AN120&lt;=64.99,"6",IF(AN120&lt;=69.99,"7",IF(AN120&lt;=74.99,"8",IF(AN120&lt;=79.99,"9","10")))))))</f>
        <v>0</v>
      </c>
      <c r="AQ120" s="28">
        <v>4</v>
      </c>
      <c r="AR120" s="29">
        <f>AP120*AQ120</f>
        <v>0</v>
      </c>
      <c r="AS120" s="16">
        <f>'[9]7th Subject'!$C24</f>
        <v>0</v>
      </c>
      <c r="AT120" s="16">
        <f>'[9]7th Subject'!$D24</f>
        <v>0</v>
      </c>
      <c r="AU120" s="27">
        <f>AT120+AS120</f>
        <v>0</v>
      </c>
      <c r="AV120" s="18" t="str">
        <f>IF(AU120&lt;50,"F",IF(AU120&lt;=54.99,"P",IF(AU120&lt;=59.99,"C",IF(AU120&lt;=64.99,"B",IF(AU120&lt;=69.99,"B+",IF(AU120&lt;=74.99,"A",IF(AU120&lt;=79.99,"A+","O")))))))</f>
        <v>F</v>
      </c>
      <c r="AW120" s="18" t="str">
        <f>IF(AU120&lt;50,"0",IF(AU120&lt;=54.99,"4",IF(AU120&lt;=59.99,"5",IF(AU120&lt;=64.99,"6",IF(AU120&lt;=69.99,"7",IF(AU120&lt;=74.99,"8",IF(AU120&lt;=79.99,"9","10")))))))</f>
        <v>0</v>
      </c>
      <c r="AX120" s="28">
        <v>4</v>
      </c>
      <c r="AY120" s="29">
        <f>AW120*AX120</f>
        <v>0</v>
      </c>
      <c r="AZ120" s="22">
        <f>'[10]8th Subject'!$C24</f>
        <v>0</v>
      </c>
      <c r="BA120" s="22">
        <f>'[10]8th Subject'!$D24</f>
        <v>0</v>
      </c>
      <c r="BB120" s="27">
        <f>BA120+AZ120</f>
        <v>0</v>
      </c>
      <c r="BC120" s="18" t="str">
        <f>IF(BB120&lt;50,"F",IF(BB120&lt;=54.99,"P",IF(BB120&lt;=59.99,"C",IF(BB120&lt;=64.99,"B",IF(BB120&lt;=69.99,"B+",IF(BB120&lt;=74.99,"A",IF(BB120&lt;=79.99,"A+","O")))))))</f>
        <v>F</v>
      </c>
      <c r="BD120" s="18" t="str">
        <f>IF(BB120&lt;50,"0",IF(BB120&lt;=54.99,"4",IF(BB120&lt;=59.99,"5",IF(BB120&lt;=64.99,"6",IF(BB120&lt;=69.99,"7",IF(BB120&lt;=74.99,"8",IF(BB120&lt;=79.99,"9","10")))))))</f>
        <v>0</v>
      </c>
      <c r="BE120" s="28">
        <v>4</v>
      </c>
      <c r="BF120" s="29">
        <f>BD120*BE120</f>
        <v>0</v>
      </c>
      <c r="BG120" s="27">
        <f>AZ120+AS120+AE120+X120+J120+C120+Q120+AL120</f>
        <v>0</v>
      </c>
      <c r="BH120" s="27">
        <f>BA120+AT120+AF120+Y120+K120+D120+R120+AM120</f>
        <v>0</v>
      </c>
      <c r="BI120" s="27">
        <f>BH120+BG120</f>
        <v>0</v>
      </c>
      <c r="BJ120" s="30">
        <f>G120+N120+U120+AB120+AI120+AP120+BD120+AW120</f>
        <v>0</v>
      </c>
      <c r="BK120" s="30">
        <f>I120+P120+W120+AD120+AK120+AY120+BF120+AR120</f>
        <v>0</v>
      </c>
      <c r="BL120" s="25">
        <f>(BN120-0.75)*10</f>
        <v>-7.5</v>
      </c>
      <c r="BM120" s="17" t="str">
        <f>IF(OR(C120&lt;20,D120&lt;30,J120&lt;20,K120&lt;30,Q120&lt;20,R120&lt;30,X120&lt;20,Y120&lt;30,AE120&lt;20,AF120&lt;30,AL120&lt;20,AM120&lt;30,AS120&lt;20,AT120&lt;30,AZ120&lt;20,BA120&lt;30),"Unsuccessful","Successful")</f>
        <v>Unsuccessful</v>
      </c>
      <c r="BN120" s="31">
        <f>BK120/32</f>
        <v>0</v>
      </c>
      <c r="BO120" s="18" t="str">
        <f>IF(BN120&lt;=4,"F",IF(BN120&lt;=4.5,"P",IF(BN120&lt;=5.5,"C",IF(BN120&lt;=6.5,"B",IF(BN120&lt;=7.5,"B+",IF(BN120&lt;=8.5,"A",IF(BN120&lt;=9.5,"A+","O")))))))</f>
        <v>F</v>
      </c>
      <c r="BP120" s="14" t="str">
        <f>IF(BN120&lt;=4,"50",IF(BN120&lt;=4.5,"50-54.99",IF(BN120&lt;=5.5,"55-59.99",IF(BN120&lt;=6.5,"60-64.99",IF(BN120&lt;=7.5,"65-69.99",IF(BN120&lt;=8.5,"70-74.99",IF(BN120&lt;=9.5,"75-79.99","10")))))))</f>
        <v>50</v>
      </c>
      <c r="BS120">
        <f>RANK(BN120,$BN$3:$BN$135)</f>
        <v>118</v>
      </c>
    </row>
    <row r="121" spans="1:71" x14ac:dyDescent="0.25">
      <c r="A121" s="14" t="str">
        <f>[2]Sheet1!$A44</f>
        <v>MMS18-20/043</v>
      </c>
      <c r="B121" s="15" t="str">
        <f>[2]Sheet1!$B44</f>
        <v>*** (NOT AVAILABLE) ***</v>
      </c>
      <c r="C121" s="16">
        <f>'[3]1st Subject'!$C45</f>
        <v>0</v>
      </c>
      <c r="D121" s="16">
        <f>'[3]1st Subject'!$D45</f>
        <v>0</v>
      </c>
      <c r="E121" s="27">
        <f>D121+C121</f>
        <v>0</v>
      </c>
      <c r="F121" s="18" t="str">
        <f>IF(E121&lt;50,"F",IF(E121&lt;=54.99,"P",IF(E121&lt;=59.99,"C",IF(E121&lt;=64.99,"B",IF(E121&lt;=69.99,"B+",IF(E121&lt;=74.99,"A",IF(E121&lt;=79.99,"A+","O")))))))</f>
        <v>F</v>
      </c>
      <c r="G121" s="18" t="str">
        <f>IF(E121&lt;50,"0",IF(E121&lt;=54.99,"4",IF(E121&lt;=59.99,"5",IF(E121&lt;=64.99,"6",IF(E121&lt;=69.99,"7",IF(E121&lt;=74.99,"8",IF(E121&lt;=79.99,"9","10")))))))</f>
        <v>0</v>
      </c>
      <c r="H121" s="28">
        <v>4</v>
      </c>
      <c r="I121" s="29">
        <f>G121*H121</f>
        <v>0</v>
      </c>
      <c r="J121" s="16">
        <f>'[4]2nd Subject'!$C45</f>
        <v>0</v>
      </c>
      <c r="K121" s="16">
        <f>'[4]2nd Subject'!$D45</f>
        <v>0</v>
      </c>
      <c r="L121" s="27">
        <f>K121+J121</f>
        <v>0</v>
      </c>
      <c r="M121" s="18" t="str">
        <f>IF(L121&lt;50,"F",IF(L121&lt;=54.99,"P",IF(L121&lt;=59.99,"C",IF(L121&lt;=64.99,"B",IF(L121&lt;=69.99,"B+",IF(L121&lt;=74.99,"A",IF(L121&lt;=79.99,"A+","O")))))))</f>
        <v>F</v>
      </c>
      <c r="N121" s="18" t="str">
        <f>IF(L121&lt;50,"0",IF(L121&lt;=54.99,"4",IF(L121&lt;=59.99,"5",IF(L121&lt;=64.99,"6",IF(L121&lt;=69.99,"7",IF(L121&lt;=74.99,"8",IF(L121&lt;=79.99,"9","10")))))))</f>
        <v>0</v>
      </c>
      <c r="O121" s="28">
        <v>4</v>
      </c>
      <c r="P121" s="29">
        <f>N121*O121</f>
        <v>0</v>
      </c>
      <c r="Q121" s="21">
        <f>'[5]3rd Subject'!$C45</f>
        <v>0</v>
      </c>
      <c r="R121" s="21">
        <f>'[5]3rd Subject'!$D45</f>
        <v>0</v>
      </c>
      <c r="S121" s="27">
        <f>R121+Q121</f>
        <v>0</v>
      </c>
      <c r="T121" s="18" t="str">
        <f>IF(S121&lt;50,"F",IF(S121&lt;=54.99,"P",IF(S121&lt;=59.99,"C",IF(S121&lt;=64.99,"B",IF(S121&lt;=69.99,"B+",IF(S121&lt;=74.99,"A",IF(S121&lt;=79.99,"A+","O")))))))</f>
        <v>F</v>
      </c>
      <c r="U121" s="18" t="str">
        <f>IF(S121&lt;50,"0",IF(S121&lt;=54.99,"4",IF(S121&lt;=59.99,"5",IF(S121&lt;=64.99,"6",IF(S121&lt;=69.99,"7",IF(S121&lt;=74.99,"8",IF(S121&lt;=79.99,"9","10")))))))</f>
        <v>0</v>
      </c>
      <c r="V121" s="28">
        <v>4</v>
      </c>
      <c r="W121" s="29">
        <f>U121*V121</f>
        <v>0</v>
      </c>
      <c r="X121" s="22">
        <f>'[6]4th Subject'!$C45</f>
        <v>0</v>
      </c>
      <c r="Y121" s="23">
        <f>'[6]4th Subject'!$D45</f>
        <v>0</v>
      </c>
      <c r="Z121" s="27">
        <f>Y121+X121</f>
        <v>0</v>
      </c>
      <c r="AA121" s="18" t="str">
        <f>IF(Z121&lt;50,"F",IF(Z121&lt;=54.99,"P",IF(Z121&lt;=59.99,"C",IF(Z121&lt;=64.99,"B",IF(Z121&lt;=69.99,"B+",IF(Z121&lt;=74.99,"A",IF(Z121&lt;=79.99,"A+","O")))))))</f>
        <v>F</v>
      </c>
      <c r="AB121" s="18" t="str">
        <f>IF(Z121&lt;50,"0",IF(Z121&lt;=54.99,"4",IF(Z121&lt;=59.99,"5",IF(Z121&lt;=64.99,"6",IF(Z121&lt;=69.99,"7",IF(Z121&lt;=74.99,"8",IF(Z121&lt;=79.99,"9","10")))))))</f>
        <v>0</v>
      </c>
      <c r="AC121" s="28">
        <v>4</v>
      </c>
      <c r="AD121" s="29">
        <f>AB121*AC121</f>
        <v>0</v>
      </c>
      <c r="AE121" s="22">
        <f>'[7]5th Subject'!$C45</f>
        <v>0</v>
      </c>
      <c r="AF121" s="23">
        <f>'[7]5th Subject'!$D45</f>
        <v>0</v>
      </c>
      <c r="AG121" s="27">
        <f>AF121+AE121</f>
        <v>0</v>
      </c>
      <c r="AH121" s="18" t="str">
        <f>IF(AG121&lt;50,"F",IF(AG121&lt;=54.99,"P",IF(AG121&lt;=59.99,"C",IF(AG121&lt;=64.99,"B",IF(AG121&lt;=69.99,"B+",IF(AG121&lt;=74.99,"A",IF(AG121&lt;=79.99,"A+","O")))))))</f>
        <v>F</v>
      </c>
      <c r="AI121" s="18" t="str">
        <f>IF(AG121&lt;50,"0",IF(AG121&lt;=54.99,"4",IF(AG121&lt;=59.99,"5",IF(AG121&lt;=64.99,"6",IF(AG121&lt;=69.99,"7",IF(AG121&lt;=74.99,"8",IF(AG121&lt;=79.99,"9","10")))))))</f>
        <v>0</v>
      </c>
      <c r="AJ121" s="28">
        <v>4</v>
      </c>
      <c r="AK121" s="29">
        <f>AI121*AJ121</f>
        <v>0</v>
      </c>
      <c r="AL121" s="22">
        <f>'[8]6th Subject'!$C45</f>
        <v>0</v>
      </c>
      <c r="AM121" s="22">
        <f>'[8]6th Subject'!$D45</f>
        <v>0</v>
      </c>
      <c r="AN121" s="27">
        <f>AM121+AL121</f>
        <v>0</v>
      </c>
      <c r="AO121" s="18" t="str">
        <f>IF(AN121&lt;50,"F",IF(AN121&lt;=54.99,"P",IF(AN121&lt;=59.99,"C",IF(AN121&lt;=64.99,"B",IF(AN121&lt;=69.99,"B+",IF(AN121&lt;=74.99,"A",IF(AN121&lt;=79.99,"A+","O")))))))</f>
        <v>F</v>
      </c>
      <c r="AP121" s="18" t="str">
        <f>IF(AN121&lt;50,"0",IF(AN121&lt;=54.99,"4",IF(AN121&lt;=59.99,"5",IF(AN121&lt;=64.99,"6",IF(AN121&lt;=69.99,"7",IF(AN121&lt;=74.99,"8",IF(AN121&lt;=79.99,"9","10")))))))</f>
        <v>0</v>
      </c>
      <c r="AQ121" s="28">
        <v>4</v>
      </c>
      <c r="AR121" s="29">
        <f>AP121*AQ121</f>
        <v>0</v>
      </c>
      <c r="AS121" s="16">
        <f>'[9]7th Subject'!$C45</f>
        <v>0</v>
      </c>
      <c r="AT121" s="16">
        <f>'[9]7th Subject'!$D45</f>
        <v>0</v>
      </c>
      <c r="AU121" s="27">
        <f>AT121+AS121</f>
        <v>0</v>
      </c>
      <c r="AV121" s="18" t="str">
        <f>IF(AU121&lt;50,"F",IF(AU121&lt;=54.99,"P",IF(AU121&lt;=59.99,"C",IF(AU121&lt;=64.99,"B",IF(AU121&lt;=69.99,"B+",IF(AU121&lt;=74.99,"A",IF(AU121&lt;=79.99,"A+","O")))))))</f>
        <v>F</v>
      </c>
      <c r="AW121" s="18" t="str">
        <f>IF(AU121&lt;50,"0",IF(AU121&lt;=54.99,"4",IF(AU121&lt;=59.99,"5",IF(AU121&lt;=64.99,"6",IF(AU121&lt;=69.99,"7",IF(AU121&lt;=74.99,"8",IF(AU121&lt;=79.99,"9","10")))))))</f>
        <v>0</v>
      </c>
      <c r="AX121" s="28">
        <v>4</v>
      </c>
      <c r="AY121" s="29">
        <f>AW121*AX121</f>
        <v>0</v>
      </c>
      <c r="AZ121" s="22">
        <f>'[10]8th Subject'!$C45</f>
        <v>0</v>
      </c>
      <c r="BA121" s="22">
        <f>'[10]8th Subject'!$D45</f>
        <v>0</v>
      </c>
      <c r="BB121" s="27">
        <f>BA121+AZ121</f>
        <v>0</v>
      </c>
      <c r="BC121" s="18" t="str">
        <f>IF(BB121&lt;50,"F",IF(BB121&lt;=54.99,"P",IF(BB121&lt;=59.99,"C",IF(BB121&lt;=64.99,"B",IF(BB121&lt;=69.99,"B+",IF(BB121&lt;=74.99,"A",IF(BB121&lt;=79.99,"A+","O")))))))</f>
        <v>F</v>
      </c>
      <c r="BD121" s="18" t="str">
        <f>IF(BB121&lt;50,"0",IF(BB121&lt;=54.99,"4",IF(BB121&lt;=59.99,"5",IF(BB121&lt;=64.99,"6",IF(BB121&lt;=69.99,"7",IF(BB121&lt;=74.99,"8",IF(BB121&lt;=79.99,"9","10")))))))</f>
        <v>0</v>
      </c>
      <c r="BE121" s="28">
        <v>4</v>
      </c>
      <c r="BF121" s="29">
        <f>BD121*BE121</f>
        <v>0</v>
      </c>
      <c r="BG121" s="27">
        <f>AZ121+AS121+AE121+X121+J121+C121+Q121+AL121</f>
        <v>0</v>
      </c>
      <c r="BH121" s="27">
        <f>BA121+AT121+AF121+Y121+K121+D121+R121+AM121</f>
        <v>0</v>
      </c>
      <c r="BI121" s="27">
        <f>BH121+BG121</f>
        <v>0</v>
      </c>
      <c r="BJ121" s="30">
        <f>G121+N121+U121+AB121+AI121+AP121+BD121+AW121</f>
        <v>0</v>
      </c>
      <c r="BK121" s="30">
        <f>I121+P121+W121+AD121+AK121+AY121+BF121+AR121</f>
        <v>0</v>
      </c>
      <c r="BL121" s="25">
        <f>(BN121-0.75)*10</f>
        <v>-7.5</v>
      </c>
      <c r="BM121" s="17" t="str">
        <f>IF(OR(C121&lt;20,D121&lt;30,J121&lt;20,K121&lt;30,Q121&lt;20,R121&lt;30,X121&lt;20,Y121&lt;30,AE121&lt;20,AF121&lt;30,AL121&lt;20,AM121&lt;30,AS121&lt;20,AT121&lt;30,AZ121&lt;20,BA121&lt;30),"Unsuccessful","Successful")</f>
        <v>Unsuccessful</v>
      </c>
      <c r="BN121" s="31">
        <f>BK121/32</f>
        <v>0</v>
      </c>
      <c r="BO121" s="18" t="str">
        <f>IF(BN121&lt;=4,"F",IF(BN121&lt;=4.5,"P",IF(BN121&lt;=5.5,"C",IF(BN121&lt;=6.5,"B",IF(BN121&lt;=7.5,"B+",IF(BN121&lt;=8.5,"A",IF(BN121&lt;=9.5,"A+","O")))))))</f>
        <v>F</v>
      </c>
      <c r="BP121" s="14" t="str">
        <f>IF(BN121&lt;=4,"50",IF(BN121&lt;=4.5,"50-54.99",IF(BN121&lt;=5.5,"55-59.99",IF(BN121&lt;=6.5,"60-64.99",IF(BN121&lt;=7.5,"65-69.99",IF(BN121&lt;=8.5,"70-74.99",IF(BN121&lt;=9.5,"75-79.99","10")))))))</f>
        <v>50</v>
      </c>
      <c r="BS121">
        <f>RANK(BN121,$BN$3:$BN$135)</f>
        <v>118</v>
      </c>
    </row>
    <row r="122" spans="1:71" x14ac:dyDescent="0.25">
      <c r="A122" s="14" t="str">
        <f>[2]Sheet1!$A121</f>
        <v>MMS18-20/120</v>
      </c>
      <c r="B122" s="15" t="str">
        <f>[2]Sheet1!$B121</f>
        <v>*** (NOT AVAILABLE) ***</v>
      </c>
      <c r="C122" s="16">
        <f>'[3]1st Subject'!$C122</f>
        <v>0</v>
      </c>
      <c r="D122" s="16">
        <f>'[3]1st Subject'!$D122</f>
        <v>0</v>
      </c>
      <c r="E122" s="27">
        <f>D122+C122</f>
        <v>0</v>
      </c>
      <c r="F122" s="18" t="str">
        <f>IF(E122&lt;50,"F",IF(E122&lt;=54.99,"P",IF(E122&lt;=59.99,"C",IF(E122&lt;=64.99,"B",IF(E122&lt;=69.99,"B+",IF(E122&lt;=74.99,"A",IF(E122&lt;=79.99,"A+","O")))))))</f>
        <v>F</v>
      </c>
      <c r="G122" s="18" t="str">
        <f>IF(E122&lt;50,"0",IF(E122&lt;=54.99,"4",IF(E122&lt;=59.99,"5",IF(E122&lt;=64.99,"6",IF(E122&lt;=69.99,"7",IF(E122&lt;=74.99,"8",IF(E122&lt;=79.99,"9","10")))))))</f>
        <v>0</v>
      </c>
      <c r="H122" s="28">
        <v>4</v>
      </c>
      <c r="I122" s="29">
        <f>G122*H122</f>
        <v>0</v>
      </c>
      <c r="J122" s="16">
        <f>'[4]2nd Subject'!$C122</f>
        <v>0</v>
      </c>
      <c r="K122" s="16">
        <f>'[4]2nd Subject'!$D122</f>
        <v>0</v>
      </c>
      <c r="L122" s="27">
        <f>K122+J122</f>
        <v>0</v>
      </c>
      <c r="M122" s="18" t="str">
        <f>IF(L122&lt;50,"F",IF(L122&lt;=54.99,"P",IF(L122&lt;=59.99,"C",IF(L122&lt;=64.99,"B",IF(L122&lt;=69.99,"B+",IF(L122&lt;=74.99,"A",IF(L122&lt;=79.99,"A+","O")))))))</f>
        <v>F</v>
      </c>
      <c r="N122" s="18" t="str">
        <f>IF(L122&lt;50,"0",IF(L122&lt;=54.99,"4",IF(L122&lt;=59.99,"5",IF(L122&lt;=64.99,"6",IF(L122&lt;=69.99,"7",IF(L122&lt;=74.99,"8",IF(L122&lt;=79.99,"9","10")))))))</f>
        <v>0</v>
      </c>
      <c r="O122" s="28">
        <v>4</v>
      </c>
      <c r="P122" s="29">
        <f>N122*O122</f>
        <v>0</v>
      </c>
      <c r="Q122" s="21">
        <f>'[5]3rd Subject'!$C122</f>
        <v>0</v>
      </c>
      <c r="R122" s="21">
        <f>'[5]3rd Subject'!$D122</f>
        <v>0</v>
      </c>
      <c r="S122" s="27">
        <f>R122+Q122</f>
        <v>0</v>
      </c>
      <c r="T122" s="18" t="str">
        <f>IF(S122&lt;50,"F",IF(S122&lt;=54.99,"P",IF(S122&lt;=59.99,"C",IF(S122&lt;=64.99,"B",IF(S122&lt;=69.99,"B+",IF(S122&lt;=74.99,"A",IF(S122&lt;=79.99,"A+","O")))))))</f>
        <v>F</v>
      </c>
      <c r="U122" s="18" t="str">
        <f>IF(S122&lt;50,"0",IF(S122&lt;=54.99,"4",IF(S122&lt;=59.99,"5",IF(S122&lt;=64.99,"6",IF(S122&lt;=69.99,"7",IF(S122&lt;=74.99,"8",IF(S122&lt;=79.99,"9","10")))))))</f>
        <v>0</v>
      </c>
      <c r="V122" s="28">
        <v>4</v>
      </c>
      <c r="W122" s="29">
        <f>U122*V122</f>
        <v>0</v>
      </c>
      <c r="X122" s="22">
        <f>'[6]4th Subject'!$C122</f>
        <v>0</v>
      </c>
      <c r="Y122" s="23">
        <f>'[6]4th Subject'!$D122</f>
        <v>0</v>
      </c>
      <c r="Z122" s="27">
        <f>Y122+X122</f>
        <v>0</v>
      </c>
      <c r="AA122" s="18" t="str">
        <f>IF(Z122&lt;50,"F",IF(Z122&lt;=54.99,"P",IF(Z122&lt;=59.99,"C",IF(Z122&lt;=64.99,"B",IF(Z122&lt;=69.99,"B+",IF(Z122&lt;=74.99,"A",IF(Z122&lt;=79.99,"A+","O")))))))</f>
        <v>F</v>
      </c>
      <c r="AB122" s="18" t="str">
        <f>IF(Z122&lt;50,"0",IF(Z122&lt;=54.99,"4",IF(Z122&lt;=59.99,"5",IF(Z122&lt;=64.99,"6",IF(Z122&lt;=69.99,"7",IF(Z122&lt;=74.99,"8",IF(Z122&lt;=79.99,"9","10")))))))</f>
        <v>0</v>
      </c>
      <c r="AC122" s="28">
        <v>4</v>
      </c>
      <c r="AD122" s="29">
        <f>AB122*AC122</f>
        <v>0</v>
      </c>
      <c r="AE122" s="22">
        <f>'[7]5th Subject'!$C122</f>
        <v>0</v>
      </c>
      <c r="AF122" s="23">
        <f>'[7]5th Subject'!$D122</f>
        <v>0</v>
      </c>
      <c r="AG122" s="27">
        <f>AF122+AE122</f>
        <v>0</v>
      </c>
      <c r="AH122" s="18" t="str">
        <f>IF(AG122&lt;50,"F",IF(AG122&lt;=54.99,"P",IF(AG122&lt;=59.99,"C",IF(AG122&lt;=64.99,"B",IF(AG122&lt;=69.99,"B+",IF(AG122&lt;=74.99,"A",IF(AG122&lt;=79.99,"A+","O")))))))</f>
        <v>F</v>
      </c>
      <c r="AI122" s="18" t="str">
        <f>IF(AG122&lt;50,"0",IF(AG122&lt;=54.99,"4",IF(AG122&lt;=59.99,"5",IF(AG122&lt;=64.99,"6",IF(AG122&lt;=69.99,"7",IF(AG122&lt;=74.99,"8",IF(AG122&lt;=79.99,"9","10")))))))</f>
        <v>0</v>
      </c>
      <c r="AJ122" s="28">
        <v>4</v>
      </c>
      <c r="AK122" s="29">
        <f>AI122*AJ122</f>
        <v>0</v>
      </c>
      <c r="AL122" s="22">
        <f>'[8]6th Subject'!$C122</f>
        <v>0</v>
      </c>
      <c r="AM122" s="22">
        <f>'[8]6th Subject'!$D122</f>
        <v>0</v>
      </c>
      <c r="AN122" s="27">
        <f>AM122+AL122</f>
        <v>0</v>
      </c>
      <c r="AO122" s="18" t="str">
        <f>IF(AN122&lt;50,"F",IF(AN122&lt;=54.99,"P",IF(AN122&lt;=59.99,"C",IF(AN122&lt;=64.99,"B",IF(AN122&lt;=69.99,"B+",IF(AN122&lt;=74.99,"A",IF(AN122&lt;=79.99,"A+","O")))))))</f>
        <v>F</v>
      </c>
      <c r="AP122" s="18" t="str">
        <f>IF(AN122&lt;50,"0",IF(AN122&lt;=54.99,"4",IF(AN122&lt;=59.99,"5",IF(AN122&lt;=64.99,"6",IF(AN122&lt;=69.99,"7",IF(AN122&lt;=74.99,"8",IF(AN122&lt;=79.99,"9","10")))))))</f>
        <v>0</v>
      </c>
      <c r="AQ122" s="28">
        <v>4</v>
      </c>
      <c r="AR122" s="29">
        <f>AP122*AQ122</f>
        <v>0</v>
      </c>
      <c r="AS122" s="16">
        <f>'[9]7th Subject'!$C122</f>
        <v>0</v>
      </c>
      <c r="AT122" s="16">
        <f>'[9]7th Subject'!$D122</f>
        <v>0</v>
      </c>
      <c r="AU122" s="27">
        <f>AT122+AS122</f>
        <v>0</v>
      </c>
      <c r="AV122" s="18" t="str">
        <f>IF(AU122&lt;50,"F",IF(AU122&lt;=54.99,"P",IF(AU122&lt;=59.99,"C",IF(AU122&lt;=64.99,"B",IF(AU122&lt;=69.99,"B+",IF(AU122&lt;=74.99,"A",IF(AU122&lt;=79.99,"A+","O")))))))</f>
        <v>F</v>
      </c>
      <c r="AW122" s="18" t="str">
        <f>IF(AU122&lt;50,"0",IF(AU122&lt;=54.99,"4",IF(AU122&lt;=59.99,"5",IF(AU122&lt;=64.99,"6",IF(AU122&lt;=69.99,"7",IF(AU122&lt;=74.99,"8",IF(AU122&lt;=79.99,"9","10")))))))</f>
        <v>0</v>
      </c>
      <c r="AX122" s="28">
        <v>4</v>
      </c>
      <c r="AY122" s="29">
        <f>AW122*AX122</f>
        <v>0</v>
      </c>
      <c r="AZ122" s="22">
        <f>'[10]8th Subject'!$C122</f>
        <v>0</v>
      </c>
      <c r="BA122" s="22">
        <f>'[10]8th Subject'!$D122</f>
        <v>0</v>
      </c>
      <c r="BB122" s="27">
        <f>BA122+AZ122</f>
        <v>0</v>
      </c>
      <c r="BC122" s="18" t="str">
        <f>IF(BB122&lt;50,"F",IF(BB122&lt;=54.99,"P",IF(BB122&lt;=59.99,"C",IF(BB122&lt;=64.99,"B",IF(BB122&lt;=69.99,"B+",IF(BB122&lt;=74.99,"A",IF(BB122&lt;=79.99,"A+","O")))))))</f>
        <v>F</v>
      </c>
      <c r="BD122" s="18" t="str">
        <f>IF(BB122&lt;50,"0",IF(BB122&lt;=54.99,"4",IF(BB122&lt;=59.99,"5",IF(BB122&lt;=64.99,"6",IF(BB122&lt;=69.99,"7",IF(BB122&lt;=74.99,"8",IF(BB122&lt;=79.99,"9","10")))))))</f>
        <v>0</v>
      </c>
      <c r="BE122" s="28">
        <v>4</v>
      </c>
      <c r="BF122" s="29">
        <f>BD122*BE122</f>
        <v>0</v>
      </c>
      <c r="BG122" s="27">
        <f>AZ122+AS122+AE122+X122+J122+C122+Q122+AL122</f>
        <v>0</v>
      </c>
      <c r="BH122" s="27">
        <f>BA122+AT122+AF122+Y122+K122+D122+R122+AM122</f>
        <v>0</v>
      </c>
      <c r="BI122" s="27">
        <f>BH122+BG122</f>
        <v>0</v>
      </c>
      <c r="BJ122" s="30">
        <f>G122+N122+U122+AB122+AI122+AP122+BD122+AW122</f>
        <v>0</v>
      </c>
      <c r="BK122" s="30">
        <f>I122+P122+W122+AD122+AK122+AY122+BF122+AR122</f>
        <v>0</v>
      </c>
      <c r="BL122" s="25">
        <f>(BN122-0.75)*10</f>
        <v>-7.5</v>
      </c>
      <c r="BM122" s="17" t="str">
        <f>IF(OR(C122&lt;20,D122&lt;30,J122&lt;20,K122&lt;30,Q122&lt;20,R122&lt;30,X122&lt;20,Y122&lt;30,AE122&lt;20,AF122&lt;30,AL122&lt;20,AM122&lt;30,AS122&lt;20,AT122&lt;30,AZ122&lt;20,BA122&lt;30),"Unsuccessful","Successful")</f>
        <v>Unsuccessful</v>
      </c>
      <c r="BN122" s="31">
        <f>BK122/32</f>
        <v>0</v>
      </c>
      <c r="BO122" s="18" t="str">
        <f>IF(BN122&lt;=4,"F",IF(BN122&lt;=4.5,"P",IF(BN122&lt;=5.5,"C",IF(BN122&lt;=6.5,"B",IF(BN122&lt;=7.5,"B+",IF(BN122&lt;=8.5,"A",IF(BN122&lt;=9.5,"A+","O")))))))</f>
        <v>F</v>
      </c>
      <c r="BP122" s="14" t="str">
        <f>IF(BN122&lt;=4,"50",IF(BN122&lt;=4.5,"50-54.99",IF(BN122&lt;=5.5,"55-59.99",IF(BN122&lt;=6.5,"60-64.99",IF(BN122&lt;=7.5,"65-69.99",IF(BN122&lt;=8.5,"70-74.99",IF(BN122&lt;=9.5,"75-79.99","10")))))))</f>
        <v>50</v>
      </c>
      <c r="BS122">
        <f>RANK(BN122,$BN$3:$BN$135)</f>
        <v>118</v>
      </c>
    </row>
    <row r="123" spans="1:71" x14ac:dyDescent="0.25">
      <c r="A123" s="14" t="str">
        <f>[2]Sheet1!$A122</f>
        <v>MMS18-20/121</v>
      </c>
      <c r="B123" s="15" t="str">
        <f>[2]Sheet1!$B122</f>
        <v>*** (NOT AVAILABLE) ***</v>
      </c>
      <c r="C123" s="16">
        <f>'[3]1st Subject'!$C123</f>
        <v>0</v>
      </c>
      <c r="D123" s="16">
        <f>'[3]1st Subject'!$D123</f>
        <v>0</v>
      </c>
      <c r="E123" s="27">
        <f>D123+C123</f>
        <v>0</v>
      </c>
      <c r="F123" s="18" t="str">
        <f>IF(E123&lt;50,"F",IF(E123&lt;=54.99,"P",IF(E123&lt;=59.99,"C",IF(E123&lt;=64.99,"B",IF(E123&lt;=69.99,"B+",IF(E123&lt;=74.99,"A",IF(E123&lt;=79.99,"A+","O")))))))</f>
        <v>F</v>
      </c>
      <c r="G123" s="18" t="str">
        <f>IF(E123&lt;50,"0",IF(E123&lt;=54.99,"4",IF(E123&lt;=59.99,"5",IF(E123&lt;=64.99,"6",IF(E123&lt;=69.99,"7",IF(E123&lt;=74.99,"8",IF(E123&lt;=79.99,"9","10")))))))</f>
        <v>0</v>
      </c>
      <c r="H123" s="28">
        <v>4</v>
      </c>
      <c r="I123" s="29">
        <f>G123*H123</f>
        <v>0</v>
      </c>
      <c r="J123" s="16">
        <f>'[4]2nd Subject'!$C123</f>
        <v>0</v>
      </c>
      <c r="K123" s="16">
        <f>'[4]2nd Subject'!$D123</f>
        <v>0</v>
      </c>
      <c r="L123" s="27">
        <f>K123+J123</f>
        <v>0</v>
      </c>
      <c r="M123" s="18" t="str">
        <f>IF(L123&lt;50,"F",IF(L123&lt;=54.99,"P",IF(L123&lt;=59.99,"C",IF(L123&lt;=64.99,"B",IF(L123&lt;=69.99,"B+",IF(L123&lt;=74.99,"A",IF(L123&lt;=79.99,"A+","O")))))))</f>
        <v>F</v>
      </c>
      <c r="N123" s="18" t="str">
        <f>IF(L123&lt;50,"0",IF(L123&lt;=54.99,"4",IF(L123&lt;=59.99,"5",IF(L123&lt;=64.99,"6",IF(L123&lt;=69.99,"7",IF(L123&lt;=74.99,"8",IF(L123&lt;=79.99,"9","10")))))))</f>
        <v>0</v>
      </c>
      <c r="O123" s="28">
        <v>4</v>
      </c>
      <c r="P123" s="29">
        <f>N123*O123</f>
        <v>0</v>
      </c>
      <c r="Q123" s="21">
        <f>'[5]3rd Subject'!$C123</f>
        <v>0</v>
      </c>
      <c r="R123" s="21">
        <f>'[5]3rd Subject'!$D123</f>
        <v>0</v>
      </c>
      <c r="S123" s="27">
        <f>R123+Q123</f>
        <v>0</v>
      </c>
      <c r="T123" s="18" t="str">
        <f>IF(S123&lt;50,"F",IF(S123&lt;=54.99,"P",IF(S123&lt;=59.99,"C",IF(S123&lt;=64.99,"B",IF(S123&lt;=69.99,"B+",IF(S123&lt;=74.99,"A",IF(S123&lt;=79.99,"A+","O")))))))</f>
        <v>F</v>
      </c>
      <c r="U123" s="18" t="str">
        <f>IF(S123&lt;50,"0",IF(S123&lt;=54.99,"4",IF(S123&lt;=59.99,"5",IF(S123&lt;=64.99,"6",IF(S123&lt;=69.99,"7",IF(S123&lt;=74.99,"8",IF(S123&lt;=79.99,"9","10")))))))</f>
        <v>0</v>
      </c>
      <c r="V123" s="28">
        <v>4</v>
      </c>
      <c r="W123" s="29">
        <f>U123*V123</f>
        <v>0</v>
      </c>
      <c r="X123" s="22">
        <f>'[6]4th Subject'!$C123</f>
        <v>0</v>
      </c>
      <c r="Y123" s="23">
        <f>'[6]4th Subject'!$D123</f>
        <v>0</v>
      </c>
      <c r="Z123" s="27">
        <f>Y123+X123</f>
        <v>0</v>
      </c>
      <c r="AA123" s="18" t="str">
        <f>IF(Z123&lt;50,"F",IF(Z123&lt;=54.99,"P",IF(Z123&lt;=59.99,"C",IF(Z123&lt;=64.99,"B",IF(Z123&lt;=69.99,"B+",IF(Z123&lt;=74.99,"A",IF(Z123&lt;=79.99,"A+","O")))))))</f>
        <v>F</v>
      </c>
      <c r="AB123" s="18" t="str">
        <f>IF(Z123&lt;50,"0",IF(Z123&lt;=54.99,"4",IF(Z123&lt;=59.99,"5",IF(Z123&lt;=64.99,"6",IF(Z123&lt;=69.99,"7",IF(Z123&lt;=74.99,"8",IF(Z123&lt;=79.99,"9","10")))))))</f>
        <v>0</v>
      </c>
      <c r="AC123" s="28">
        <v>4</v>
      </c>
      <c r="AD123" s="29">
        <f>AB123*AC123</f>
        <v>0</v>
      </c>
      <c r="AE123" s="22">
        <f>'[7]5th Subject'!$C123</f>
        <v>0</v>
      </c>
      <c r="AF123" s="23">
        <f>'[7]5th Subject'!$D123</f>
        <v>0</v>
      </c>
      <c r="AG123" s="27">
        <f>AF123+AE123</f>
        <v>0</v>
      </c>
      <c r="AH123" s="18" t="str">
        <f>IF(AG123&lt;50,"F",IF(AG123&lt;=54.99,"P",IF(AG123&lt;=59.99,"C",IF(AG123&lt;=64.99,"B",IF(AG123&lt;=69.99,"B+",IF(AG123&lt;=74.99,"A",IF(AG123&lt;=79.99,"A+","O")))))))</f>
        <v>F</v>
      </c>
      <c r="AI123" s="18" t="str">
        <f>IF(AG123&lt;50,"0",IF(AG123&lt;=54.99,"4",IF(AG123&lt;=59.99,"5",IF(AG123&lt;=64.99,"6",IF(AG123&lt;=69.99,"7",IF(AG123&lt;=74.99,"8",IF(AG123&lt;=79.99,"9","10")))))))</f>
        <v>0</v>
      </c>
      <c r="AJ123" s="28">
        <v>4</v>
      </c>
      <c r="AK123" s="29">
        <f>AI123*AJ123</f>
        <v>0</v>
      </c>
      <c r="AL123" s="22">
        <f>'[8]6th Subject'!$C123</f>
        <v>0</v>
      </c>
      <c r="AM123" s="22">
        <f>'[8]6th Subject'!$D123</f>
        <v>0</v>
      </c>
      <c r="AN123" s="27">
        <f>AM123+AL123</f>
        <v>0</v>
      </c>
      <c r="AO123" s="18" t="str">
        <f>IF(AN123&lt;50,"F",IF(AN123&lt;=54.99,"P",IF(AN123&lt;=59.99,"C",IF(AN123&lt;=64.99,"B",IF(AN123&lt;=69.99,"B+",IF(AN123&lt;=74.99,"A",IF(AN123&lt;=79.99,"A+","O")))))))</f>
        <v>F</v>
      </c>
      <c r="AP123" s="18" t="str">
        <f>IF(AN123&lt;50,"0",IF(AN123&lt;=54.99,"4",IF(AN123&lt;=59.99,"5",IF(AN123&lt;=64.99,"6",IF(AN123&lt;=69.99,"7",IF(AN123&lt;=74.99,"8",IF(AN123&lt;=79.99,"9","10")))))))</f>
        <v>0</v>
      </c>
      <c r="AQ123" s="28">
        <v>4</v>
      </c>
      <c r="AR123" s="29">
        <f>AP123*AQ123</f>
        <v>0</v>
      </c>
      <c r="AS123" s="16">
        <f>'[9]7th Subject'!$C123</f>
        <v>0</v>
      </c>
      <c r="AT123" s="16">
        <f>'[9]7th Subject'!$D123</f>
        <v>0</v>
      </c>
      <c r="AU123" s="27">
        <f>AT123+AS123</f>
        <v>0</v>
      </c>
      <c r="AV123" s="18" t="str">
        <f>IF(AU123&lt;50,"F",IF(AU123&lt;=54.99,"P",IF(AU123&lt;=59.99,"C",IF(AU123&lt;=64.99,"B",IF(AU123&lt;=69.99,"B+",IF(AU123&lt;=74.99,"A",IF(AU123&lt;=79.99,"A+","O")))))))</f>
        <v>F</v>
      </c>
      <c r="AW123" s="18" t="str">
        <f>IF(AU123&lt;50,"0",IF(AU123&lt;=54.99,"4",IF(AU123&lt;=59.99,"5",IF(AU123&lt;=64.99,"6",IF(AU123&lt;=69.99,"7",IF(AU123&lt;=74.99,"8",IF(AU123&lt;=79.99,"9","10")))))))</f>
        <v>0</v>
      </c>
      <c r="AX123" s="28">
        <v>4</v>
      </c>
      <c r="AY123" s="29">
        <f>AW123*AX123</f>
        <v>0</v>
      </c>
      <c r="AZ123" s="22">
        <f>'[10]8th Subject'!$C123</f>
        <v>0</v>
      </c>
      <c r="BA123" s="22">
        <f>'[10]8th Subject'!$D123</f>
        <v>0</v>
      </c>
      <c r="BB123" s="27">
        <f>BA123+AZ123</f>
        <v>0</v>
      </c>
      <c r="BC123" s="18" t="str">
        <f>IF(BB123&lt;50,"F",IF(BB123&lt;=54.99,"P",IF(BB123&lt;=59.99,"C",IF(BB123&lt;=64.99,"B",IF(BB123&lt;=69.99,"B+",IF(BB123&lt;=74.99,"A",IF(BB123&lt;=79.99,"A+","O")))))))</f>
        <v>F</v>
      </c>
      <c r="BD123" s="18" t="str">
        <f>IF(BB123&lt;50,"0",IF(BB123&lt;=54.99,"4",IF(BB123&lt;=59.99,"5",IF(BB123&lt;=64.99,"6",IF(BB123&lt;=69.99,"7",IF(BB123&lt;=74.99,"8",IF(BB123&lt;=79.99,"9","10")))))))</f>
        <v>0</v>
      </c>
      <c r="BE123" s="28">
        <v>4</v>
      </c>
      <c r="BF123" s="29">
        <f>BD123*BE123</f>
        <v>0</v>
      </c>
      <c r="BG123" s="27">
        <f>AZ123+AS123+AE123+X123+J123+C123+Q123+AL123</f>
        <v>0</v>
      </c>
      <c r="BH123" s="27">
        <f>BA123+AT123+AF123+Y123+K123+D123+R123+AM123</f>
        <v>0</v>
      </c>
      <c r="BI123" s="27">
        <f>BH123+BG123</f>
        <v>0</v>
      </c>
      <c r="BJ123" s="30">
        <f>G123+N123+U123+AB123+AI123+AP123+BD123+AW123</f>
        <v>0</v>
      </c>
      <c r="BK123" s="30">
        <f>I123+P123+W123+AD123+AK123+AY123+BF123+AR123</f>
        <v>0</v>
      </c>
      <c r="BL123" s="25">
        <f>(BN123-0.75)*10</f>
        <v>-7.5</v>
      </c>
      <c r="BM123" s="17" t="str">
        <f>IF(OR(C123&lt;20,D123&lt;30,J123&lt;20,K123&lt;30,Q123&lt;20,R123&lt;30,X123&lt;20,Y123&lt;30,AE123&lt;20,AF123&lt;30,AL123&lt;20,AM123&lt;30,AS123&lt;20,AT123&lt;30,AZ123&lt;20,BA123&lt;30),"Unsuccessful","Successful")</f>
        <v>Unsuccessful</v>
      </c>
      <c r="BN123" s="31">
        <f>BK123/32</f>
        <v>0</v>
      </c>
      <c r="BO123" s="18" t="str">
        <f>IF(BN123&lt;=4,"F",IF(BN123&lt;=4.5,"P",IF(BN123&lt;=5.5,"C",IF(BN123&lt;=6.5,"B",IF(BN123&lt;=7.5,"B+",IF(BN123&lt;=8.5,"A",IF(BN123&lt;=9.5,"A+","O")))))))</f>
        <v>F</v>
      </c>
      <c r="BP123" s="14" t="str">
        <f>IF(BN123&lt;=4,"50",IF(BN123&lt;=4.5,"50-54.99",IF(BN123&lt;=5.5,"55-59.99",IF(BN123&lt;=6.5,"60-64.99",IF(BN123&lt;=7.5,"65-69.99",IF(BN123&lt;=8.5,"70-74.99",IF(BN123&lt;=9.5,"75-79.99","10")))))))</f>
        <v>50</v>
      </c>
      <c r="BS123">
        <f>RANK(BN123,$BN$3:$BN$135)</f>
        <v>118</v>
      </c>
    </row>
    <row r="124" spans="1:71" x14ac:dyDescent="0.25">
      <c r="A124" s="14" t="str">
        <f>[2]Sheet1!$A123</f>
        <v>MMS18-20/122</v>
      </c>
      <c r="B124" s="15" t="str">
        <f>[2]Sheet1!$B123</f>
        <v>*** (NOT AVAILABLE) ***</v>
      </c>
      <c r="C124" s="16">
        <f>'[3]1st Subject'!$C124</f>
        <v>0</v>
      </c>
      <c r="D124" s="16">
        <f>'[3]1st Subject'!$D124</f>
        <v>0</v>
      </c>
      <c r="E124" s="27">
        <f>D124+C124</f>
        <v>0</v>
      </c>
      <c r="F124" s="18" t="str">
        <f>IF(E124&lt;50,"F",IF(E124&lt;=54.99,"P",IF(E124&lt;=59.99,"C",IF(E124&lt;=64.99,"B",IF(E124&lt;=69.99,"B+",IF(E124&lt;=74.99,"A",IF(E124&lt;=79.99,"A+","O")))))))</f>
        <v>F</v>
      </c>
      <c r="G124" s="18" t="str">
        <f>IF(E124&lt;50,"0",IF(E124&lt;=54.99,"4",IF(E124&lt;=59.99,"5",IF(E124&lt;=64.99,"6",IF(E124&lt;=69.99,"7",IF(E124&lt;=74.99,"8",IF(E124&lt;=79.99,"9","10")))))))</f>
        <v>0</v>
      </c>
      <c r="H124" s="28">
        <v>4</v>
      </c>
      <c r="I124" s="29">
        <f>G124*H124</f>
        <v>0</v>
      </c>
      <c r="J124" s="16">
        <f>'[4]2nd Subject'!$C124</f>
        <v>0</v>
      </c>
      <c r="K124" s="16">
        <f>'[4]2nd Subject'!$D124</f>
        <v>0</v>
      </c>
      <c r="L124" s="27">
        <f>K124+J124</f>
        <v>0</v>
      </c>
      <c r="M124" s="18" t="str">
        <f>IF(L124&lt;50,"F",IF(L124&lt;=54.99,"P",IF(L124&lt;=59.99,"C",IF(L124&lt;=64.99,"B",IF(L124&lt;=69.99,"B+",IF(L124&lt;=74.99,"A",IF(L124&lt;=79.99,"A+","O")))))))</f>
        <v>F</v>
      </c>
      <c r="N124" s="18" t="str">
        <f>IF(L124&lt;50,"0",IF(L124&lt;=54.99,"4",IF(L124&lt;=59.99,"5",IF(L124&lt;=64.99,"6",IF(L124&lt;=69.99,"7",IF(L124&lt;=74.99,"8",IF(L124&lt;=79.99,"9","10")))))))</f>
        <v>0</v>
      </c>
      <c r="O124" s="28">
        <v>4</v>
      </c>
      <c r="P124" s="29">
        <f>N124*O124</f>
        <v>0</v>
      </c>
      <c r="Q124" s="21">
        <f>'[5]3rd Subject'!$C124</f>
        <v>0</v>
      </c>
      <c r="R124" s="21">
        <f>'[5]3rd Subject'!$D124</f>
        <v>0</v>
      </c>
      <c r="S124" s="27">
        <f>R124+Q124</f>
        <v>0</v>
      </c>
      <c r="T124" s="18" t="str">
        <f>IF(S124&lt;50,"F",IF(S124&lt;=54.99,"P",IF(S124&lt;=59.99,"C",IF(S124&lt;=64.99,"B",IF(S124&lt;=69.99,"B+",IF(S124&lt;=74.99,"A",IF(S124&lt;=79.99,"A+","O")))))))</f>
        <v>F</v>
      </c>
      <c r="U124" s="18" t="str">
        <f>IF(S124&lt;50,"0",IF(S124&lt;=54.99,"4",IF(S124&lt;=59.99,"5",IF(S124&lt;=64.99,"6",IF(S124&lt;=69.99,"7",IF(S124&lt;=74.99,"8",IF(S124&lt;=79.99,"9","10")))))))</f>
        <v>0</v>
      </c>
      <c r="V124" s="28">
        <v>4</v>
      </c>
      <c r="W124" s="29">
        <f>U124*V124</f>
        <v>0</v>
      </c>
      <c r="X124" s="22">
        <f>'[6]4th Subject'!$C124</f>
        <v>0</v>
      </c>
      <c r="Y124" s="23">
        <f>'[6]4th Subject'!$D124</f>
        <v>0</v>
      </c>
      <c r="Z124" s="27">
        <f>Y124+X124</f>
        <v>0</v>
      </c>
      <c r="AA124" s="18" t="str">
        <f>IF(Z124&lt;50,"F",IF(Z124&lt;=54.99,"P",IF(Z124&lt;=59.99,"C",IF(Z124&lt;=64.99,"B",IF(Z124&lt;=69.99,"B+",IF(Z124&lt;=74.99,"A",IF(Z124&lt;=79.99,"A+","O")))))))</f>
        <v>F</v>
      </c>
      <c r="AB124" s="18" t="str">
        <f>IF(Z124&lt;50,"0",IF(Z124&lt;=54.99,"4",IF(Z124&lt;=59.99,"5",IF(Z124&lt;=64.99,"6",IF(Z124&lt;=69.99,"7",IF(Z124&lt;=74.99,"8",IF(Z124&lt;=79.99,"9","10")))))))</f>
        <v>0</v>
      </c>
      <c r="AC124" s="28">
        <v>4</v>
      </c>
      <c r="AD124" s="29">
        <f>AB124*AC124</f>
        <v>0</v>
      </c>
      <c r="AE124" s="22">
        <f>'[7]5th Subject'!$C124</f>
        <v>0</v>
      </c>
      <c r="AF124" s="23">
        <f>'[7]5th Subject'!$D124</f>
        <v>0</v>
      </c>
      <c r="AG124" s="27">
        <f>AF124+AE124</f>
        <v>0</v>
      </c>
      <c r="AH124" s="18" t="str">
        <f>IF(AG124&lt;50,"F",IF(AG124&lt;=54.99,"P",IF(AG124&lt;=59.99,"C",IF(AG124&lt;=64.99,"B",IF(AG124&lt;=69.99,"B+",IF(AG124&lt;=74.99,"A",IF(AG124&lt;=79.99,"A+","O")))))))</f>
        <v>F</v>
      </c>
      <c r="AI124" s="18" t="str">
        <f>IF(AG124&lt;50,"0",IF(AG124&lt;=54.99,"4",IF(AG124&lt;=59.99,"5",IF(AG124&lt;=64.99,"6",IF(AG124&lt;=69.99,"7",IF(AG124&lt;=74.99,"8",IF(AG124&lt;=79.99,"9","10")))))))</f>
        <v>0</v>
      </c>
      <c r="AJ124" s="28">
        <v>4</v>
      </c>
      <c r="AK124" s="29">
        <f>AI124*AJ124</f>
        <v>0</v>
      </c>
      <c r="AL124" s="22">
        <f>'[8]6th Subject'!$C124</f>
        <v>0</v>
      </c>
      <c r="AM124" s="22">
        <f>'[8]6th Subject'!$D124</f>
        <v>0</v>
      </c>
      <c r="AN124" s="27">
        <f>AM124+AL124</f>
        <v>0</v>
      </c>
      <c r="AO124" s="18" t="str">
        <f>IF(AN124&lt;50,"F",IF(AN124&lt;=54.99,"P",IF(AN124&lt;=59.99,"C",IF(AN124&lt;=64.99,"B",IF(AN124&lt;=69.99,"B+",IF(AN124&lt;=74.99,"A",IF(AN124&lt;=79.99,"A+","O")))))))</f>
        <v>F</v>
      </c>
      <c r="AP124" s="18" t="str">
        <f>IF(AN124&lt;50,"0",IF(AN124&lt;=54.99,"4",IF(AN124&lt;=59.99,"5",IF(AN124&lt;=64.99,"6",IF(AN124&lt;=69.99,"7",IF(AN124&lt;=74.99,"8",IF(AN124&lt;=79.99,"9","10")))))))</f>
        <v>0</v>
      </c>
      <c r="AQ124" s="28">
        <v>4</v>
      </c>
      <c r="AR124" s="29">
        <f>AP124*AQ124</f>
        <v>0</v>
      </c>
      <c r="AS124" s="16">
        <f>'[9]7th Subject'!$C124</f>
        <v>0</v>
      </c>
      <c r="AT124" s="16">
        <f>'[9]7th Subject'!$D124</f>
        <v>0</v>
      </c>
      <c r="AU124" s="27">
        <f>AT124+AS124</f>
        <v>0</v>
      </c>
      <c r="AV124" s="18" t="str">
        <f>IF(AU124&lt;50,"F",IF(AU124&lt;=54.99,"P",IF(AU124&lt;=59.99,"C",IF(AU124&lt;=64.99,"B",IF(AU124&lt;=69.99,"B+",IF(AU124&lt;=74.99,"A",IF(AU124&lt;=79.99,"A+","O")))))))</f>
        <v>F</v>
      </c>
      <c r="AW124" s="18" t="str">
        <f>IF(AU124&lt;50,"0",IF(AU124&lt;=54.99,"4",IF(AU124&lt;=59.99,"5",IF(AU124&lt;=64.99,"6",IF(AU124&lt;=69.99,"7",IF(AU124&lt;=74.99,"8",IF(AU124&lt;=79.99,"9","10")))))))</f>
        <v>0</v>
      </c>
      <c r="AX124" s="28">
        <v>4</v>
      </c>
      <c r="AY124" s="29">
        <f>AW124*AX124</f>
        <v>0</v>
      </c>
      <c r="AZ124" s="22">
        <f>'[10]8th Subject'!$C124</f>
        <v>0</v>
      </c>
      <c r="BA124" s="22">
        <f>'[10]8th Subject'!$D124</f>
        <v>0</v>
      </c>
      <c r="BB124" s="27">
        <f>BA124+AZ124</f>
        <v>0</v>
      </c>
      <c r="BC124" s="18" t="str">
        <f>IF(BB124&lt;50,"F",IF(BB124&lt;=54.99,"P",IF(BB124&lt;=59.99,"C",IF(BB124&lt;=64.99,"B",IF(BB124&lt;=69.99,"B+",IF(BB124&lt;=74.99,"A",IF(BB124&lt;=79.99,"A+","O")))))))</f>
        <v>F</v>
      </c>
      <c r="BD124" s="18" t="str">
        <f>IF(BB124&lt;50,"0",IF(BB124&lt;=54.99,"4",IF(BB124&lt;=59.99,"5",IF(BB124&lt;=64.99,"6",IF(BB124&lt;=69.99,"7",IF(BB124&lt;=74.99,"8",IF(BB124&lt;=79.99,"9","10")))))))</f>
        <v>0</v>
      </c>
      <c r="BE124" s="28">
        <v>4</v>
      </c>
      <c r="BF124" s="29">
        <f>BD124*BE124</f>
        <v>0</v>
      </c>
      <c r="BG124" s="27">
        <f>AZ124+AS124+AE124+X124+J124+C124+Q124+AL124</f>
        <v>0</v>
      </c>
      <c r="BH124" s="27">
        <f>BA124+AT124+AF124+Y124+K124+D124+R124+AM124</f>
        <v>0</v>
      </c>
      <c r="BI124" s="27">
        <f>BH124+BG124</f>
        <v>0</v>
      </c>
      <c r="BJ124" s="30">
        <f>G124+N124+U124+AB124+AI124+AP124+BD124+AW124</f>
        <v>0</v>
      </c>
      <c r="BK124" s="30">
        <f>I124+P124+W124+AD124+AK124+AY124+BF124+AR124</f>
        <v>0</v>
      </c>
      <c r="BL124" s="25">
        <f>(BN124-0.75)*10</f>
        <v>-7.5</v>
      </c>
      <c r="BM124" s="17" t="str">
        <f>IF(OR(C124&lt;20,D124&lt;30,J124&lt;20,K124&lt;30,Q124&lt;20,R124&lt;30,X124&lt;20,Y124&lt;30,AE124&lt;20,AF124&lt;30,AL124&lt;20,AM124&lt;30,AS124&lt;20,AT124&lt;30,AZ124&lt;20,BA124&lt;30),"Unsuccessful","Successful")</f>
        <v>Unsuccessful</v>
      </c>
      <c r="BN124" s="31">
        <f>BK124/32</f>
        <v>0</v>
      </c>
      <c r="BO124" s="18" t="str">
        <f>IF(BN124&lt;=4,"F",IF(BN124&lt;=4.5,"P",IF(BN124&lt;=5.5,"C",IF(BN124&lt;=6.5,"B",IF(BN124&lt;=7.5,"B+",IF(BN124&lt;=8.5,"A",IF(BN124&lt;=9.5,"A+","O")))))))</f>
        <v>F</v>
      </c>
      <c r="BP124" s="14" t="str">
        <f>IF(BN124&lt;=4,"50",IF(BN124&lt;=4.5,"50-54.99",IF(BN124&lt;=5.5,"55-59.99",IF(BN124&lt;=6.5,"60-64.99",IF(BN124&lt;=7.5,"65-69.99",IF(BN124&lt;=8.5,"70-74.99",IF(BN124&lt;=9.5,"75-79.99","10")))))))</f>
        <v>50</v>
      </c>
      <c r="BS124">
        <f>RANK(BN124,$BN$3:$BN$135)</f>
        <v>118</v>
      </c>
    </row>
    <row r="125" spans="1:71" x14ac:dyDescent="0.25">
      <c r="A125" s="14" t="str">
        <f>[2]Sheet1!$A124</f>
        <v>MMS18-20/123</v>
      </c>
      <c r="B125" s="15" t="str">
        <f>[2]Sheet1!$B124</f>
        <v>*** (NOT AVAILABLE) ***</v>
      </c>
      <c r="C125" s="16">
        <f>'[3]1st Subject'!$C125</f>
        <v>0</v>
      </c>
      <c r="D125" s="16">
        <f>'[3]1st Subject'!$D125</f>
        <v>0</v>
      </c>
      <c r="E125" s="27">
        <f>D125+C125</f>
        <v>0</v>
      </c>
      <c r="F125" s="18" t="str">
        <f>IF(E125&lt;50,"F",IF(E125&lt;=54.99,"P",IF(E125&lt;=59.99,"C",IF(E125&lt;=64.99,"B",IF(E125&lt;=69.99,"B+",IF(E125&lt;=74.99,"A",IF(E125&lt;=79.99,"A+","O")))))))</f>
        <v>F</v>
      </c>
      <c r="G125" s="18" t="str">
        <f>IF(E125&lt;50,"0",IF(E125&lt;=54.99,"4",IF(E125&lt;=59.99,"5",IF(E125&lt;=64.99,"6",IF(E125&lt;=69.99,"7",IF(E125&lt;=74.99,"8",IF(E125&lt;=79.99,"9","10")))))))</f>
        <v>0</v>
      </c>
      <c r="H125" s="28">
        <v>4</v>
      </c>
      <c r="I125" s="29">
        <f>G125*H125</f>
        <v>0</v>
      </c>
      <c r="J125" s="16">
        <f>'[4]2nd Subject'!$C125</f>
        <v>0</v>
      </c>
      <c r="K125" s="16">
        <f>'[4]2nd Subject'!$D125</f>
        <v>0</v>
      </c>
      <c r="L125" s="27">
        <f>K125+J125</f>
        <v>0</v>
      </c>
      <c r="M125" s="18" t="str">
        <f>IF(L125&lt;50,"F",IF(L125&lt;=54.99,"P",IF(L125&lt;=59.99,"C",IF(L125&lt;=64.99,"B",IF(L125&lt;=69.99,"B+",IF(L125&lt;=74.99,"A",IF(L125&lt;=79.99,"A+","O")))))))</f>
        <v>F</v>
      </c>
      <c r="N125" s="18" t="str">
        <f>IF(L125&lt;50,"0",IF(L125&lt;=54.99,"4",IF(L125&lt;=59.99,"5",IF(L125&lt;=64.99,"6",IF(L125&lt;=69.99,"7",IF(L125&lt;=74.99,"8",IF(L125&lt;=79.99,"9","10")))))))</f>
        <v>0</v>
      </c>
      <c r="O125" s="28">
        <v>4</v>
      </c>
      <c r="P125" s="29">
        <f>N125*O125</f>
        <v>0</v>
      </c>
      <c r="Q125" s="21">
        <f>'[5]3rd Subject'!$C125</f>
        <v>0</v>
      </c>
      <c r="R125" s="21">
        <f>'[5]3rd Subject'!$D125</f>
        <v>0</v>
      </c>
      <c r="S125" s="27">
        <f>R125+Q125</f>
        <v>0</v>
      </c>
      <c r="T125" s="18" t="str">
        <f>IF(S125&lt;50,"F",IF(S125&lt;=54.99,"P",IF(S125&lt;=59.99,"C",IF(S125&lt;=64.99,"B",IF(S125&lt;=69.99,"B+",IF(S125&lt;=74.99,"A",IF(S125&lt;=79.99,"A+","O")))))))</f>
        <v>F</v>
      </c>
      <c r="U125" s="18" t="str">
        <f>IF(S125&lt;50,"0",IF(S125&lt;=54.99,"4",IF(S125&lt;=59.99,"5",IF(S125&lt;=64.99,"6",IF(S125&lt;=69.99,"7",IF(S125&lt;=74.99,"8",IF(S125&lt;=79.99,"9","10")))))))</f>
        <v>0</v>
      </c>
      <c r="V125" s="28">
        <v>4</v>
      </c>
      <c r="W125" s="29">
        <f>U125*V125</f>
        <v>0</v>
      </c>
      <c r="X125" s="22">
        <f>'[6]4th Subject'!$C125</f>
        <v>0</v>
      </c>
      <c r="Y125" s="23">
        <f>'[6]4th Subject'!$D125</f>
        <v>0</v>
      </c>
      <c r="Z125" s="27">
        <f>Y125+X125</f>
        <v>0</v>
      </c>
      <c r="AA125" s="18" t="str">
        <f>IF(Z125&lt;50,"F",IF(Z125&lt;=54.99,"P",IF(Z125&lt;=59.99,"C",IF(Z125&lt;=64.99,"B",IF(Z125&lt;=69.99,"B+",IF(Z125&lt;=74.99,"A",IF(Z125&lt;=79.99,"A+","O")))))))</f>
        <v>F</v>
      </c>
      <c r="AB125" s="18" t="str">
        <f>IF(Z125&lt;50,"0",IF(Z125&lt;=54.99,"4",IF(Z125&lt;=59.99,"5",IF(Z125&lt;=64.99,"6",IF(Z125&lt;=69.99,"7",IF(Z125&lt;=74.99,"8",IF(Z125&lt;=79.99,"9","10")))))))</f>
        <v>0</v>
      </c>
      <c r="AC125" s="28">
        <v>4</v>
      </c>
      <c r="AD125" s="29">
        <f>AB125*AC125</f>
        <v>0</v>
      </c>
      <c r="AE125" s="22">
        <f>'[7]5th Subject'!$C125</f>
        <v>0</v>
      </c>
      <c r="AF125" s="23">
        <f>'[7]5th Subject'!$D125</f>
        <v>0</v>
      </c>
      <c r="AG125" s="27">
        <f>AF125+AE125</f>
        <v>0</v>
      </c>
      <c r="AH125" s="18" t="str">
        <f>IF(AG125&lt;50,"F",IF(AG125&lt;=54.99,"P",IF(AG125&lt;=59.99,"C",IF(AG125&lt;=64.99,"B",IF(AG125&lt;=69.99,"B+",IF(AG125&lt;=74.99,"A",IF(AG125&lt;=79.99,"A+","O")))))))</f>
        <v>F</v>
      </c>
      <c r="AI125" s="18" t="str">
        <f>IF(AG125&lt;50,"0",IF(AG125&lt;=54.99,"4",IF(AG125&lt;=59.99,"5",IF(AG125&lt;=64.99,"6",IF(AG125&lt;=69.99,"7",IF(AG125&lt;=74.99,"8",IF(AG125&lt;=79.99,"9","10")))))))</f>
        <v>0</v>
      </c>
      <c r="AJ125" s="28">
        <v>4</v>
      </c>
      <c r="AK125" s="29">
        <f>AI125*AJ125</f>
        <v>0</v>
      </c>
      <c r="AL125" s="22">
        <f>'[8]6th Subject'!$C125</f>
        <v>0</v>
      </c>
      <c r="AM125" s="22">
        <f>'[8]6th Subject'!$D125</f>
        <v>0</v>
      </c>
      <c r="AN125" s="27">
        <f>AM125+AL125</f>
        <v>0</v>
      </c>
      <c r="AO125" s="18" t="str">
        <f>IF(AN125&lt;50,"F",IF(AN125&lt;=54.99,"P",IF(AN125&lt;=59.99,"C",IF(AN125&lt;=64.99,"B",IF(AN125&lt;=69.99,"B+",IF(AN125&lt;=74.99,"A",IF(AN125&lt;=79.99,"A+","O")))))))</f>
        <v>F</v>
      </c>
      <c r="AP125" s="18" t="str">
        <f>IF(AN125&lt;50,"0",IF(AN125&lt;=54.99,"4",IF(AN125&lt;=59.99,"5",IF(AN125&lt;=64.99,"6",IF(AN125&lt;=69.99,"7",IF(AN125&lt;=74.99,"8",IF(AN125&lt;=79.99,"9","10")))))))</f>
        <v>0</v>
      </c>
      <c r="AQ125" s="28">
        <v>4</v>
      </c>
      <c r="AR125" s="29">
        <f>AP125*AQ125</f>
        <v>0</v>
      </c>
      <c r="AS125" s="16">
        <f>'[9]7th Subject'!$C125</f>
        <v>0</v>
      </c>
      <c r="AT125" s="16">
        <f>'[9]7th Subject'!$D125</f>
        <v>0</v>
      </c>
      <c r="AU125" s="27">
        <f>AT125+AS125</f>
        <v>0</v>
      </c>
      <c r="AV125" s="18" t="str">
        <f>IF(AU125&lt;50,"F",IF(AU125&lt;=54.99,"P",IF(AU125&lt;=59.99,"C",IF(AU125&lt;=64.99,"B",IF(AU125&lt;=69.99,"B+",IF(AU125&lt;=74.99,"A",IF(AU125&lt;=79.99,"A+","O")))))))</f>
        <v>F</v>
      </c>
      <c r="AW125" s="18" t="str">
        <f>IF(AU125&lt;50,"0",IF(AU125&lt;=54.99,"4",IF(AU125&lt;=59.99,"5",IF(AU125&lt;=64.99,"6",IF(AU125&lt;=69.99,"7",IF(AU125&lt;=74.99,"8",IF(AU125&lt;=79.99,"9","10")))))))</f>
        <v>0</v>
      </c>
      <c r="AX125" s="28">
        <v>4</v>
      </c>
      <c r="AY125" s="29">
        <f>AW125*AX125</f>
        <v>0</v>
      </c>
      <c r="AZ125" s="22">
        <f>'[10]8th Subject'!$C125</f>
        <v>0</v>
      </c>
      <c r="BA125" s="22">
        <f>'[10]8th Subject'!$D125</f>
        <v>0</v>
      </c>
      <c r="BB125" s="27">
        <f>BA125+AZ125</f>
        <v>0</v>
      </c>
      <c r="BC125" s="18" t="str">
        <f>IF(BB125&lt;50,"F",IF(BB125&lt;=54.99,"P",IF(BB125&lt;=59.99,"C",IF(BB125&lt;=64.99,"B",IF(BB125&lt;=69.99,"B+",IF(BB125&lt;=74.99,"A",IF(BB125&lt;=79.99,"A+","O")))))))</f>
        <v>F</v>
      </c>
      <c r="BD125" s="18" t="str">
        <f>IF(BB125&lt;50,"0",IF(BB125&lt;=54.99,"4",IF(BB125&lt;=59.99,"5",IF(BB125&lt;=64.99,"6",IF(BB125&lt;=69.99,"7",IF(BB125&lt;=74.99,"8",IF(BB125&lt;=79.99,"9","10")))))))</f>
        <v>0</v>
      </c>
      <c r="BE125" s="28">
        <v>4</v>
      </c>
      <c r="BF125" s="29">
        <f>BD125*BE125</f>
        <v>0</v>
      </c>
      <c r="BG125" s="27">
        <f>AZ125+AS125+AE125+X125+J125+C125+Q125+AL125</f>
        <v>0</v>
      </c>
      <c r="BH125" s="27">
        <f>BA125+AT125+AF125+Y125+K125+D125+R125+AM125</f>
        <v>0</v>
      </c>
      <c r="BI125" s="27">
        <f>BH125+BG125</f>
        <v>0</v>
      </c>
      <c r="BJ125" s="30">
        <f>G125+N125+U125+AB125+AI125+AP125+BD125+AW125</f>
        <v>0</v>
      </c>
      <c r="BK125" s="30">
        <f>I125+P125+W125+AD125+AK125+AY125+BF125+AR125</f>
        <v>0</v>
      </c>
      <c r="BL125" s="25">
        <f>(BN125-0.75)*10</f>
        <v>-7.5</v>
      </c>
      <c r="BM125" s="17" t="str">
        <f>IF(OR(C125&lt;20,D125&lt;30,J125&lt;20,K125&lt;30,Q125&lt;20,R125&lt;30,X125&lt;20,Y125&lt;30,AE125&lt;20,AF125&lt;30,AL125&lt;20,AM125&lt;30,AS125&lt;20,AT125&lt;30,AZ125&lt;20,BA125&lt;30),"Unsuccessful","Successful")</f>
        <v>Unsuccessful</v>
      </c>
      <c r="BN125" s="31">
        <f>BK125/32</f>
        <v>0</v>
      </c>
      <c r="BO125" s="18" t="str">
        <f>IF(BN125&lt;=4,"F",IF(BN125&lt;=4.5,"P",IF(BN125&lt;=5.5,"C",IF(BN125&lt;=6.5,"B",IF(BN125&lt;=7.5,"B+",IF(BN125&lt;=8.5,"A",IF(BN125&lt;=9.5,"A+","O")))))))</f>
        <v>F</v>
      </c>
      <c r="BP125" s="14" t="str">
        <f>IF(BN125&lt;=4,"50",IF(BN125&lt;=4.5,"50-54.99",IF(BN125&lt;=5.5,"55-59.99",IF(BN125&lt;=6.5,"60-64.99",IF(BN125&lt;=7.5,"65-69.99",IF(BN125&lt;=8.5,"70-74.99",IF(BN125&lt;=9.5,"75-79.99","10")))))))</f>
        <v>50</v>
      </c>
      <c r="BS125">
        <f>RANK(BN125,$BN$3:$BN$135)</f>
        <v>118</v>
      </c>
    </row>
    <row r="126" spans="1:71" x14ac:dyDescent="0.25">
      <c r="A126" s="14" t="str">
        <f>[2]Sheet1!$A125</f>
        <v>MMS18-20/124</v>
      </c>
      <c r="B126" s="15" t="str">
        <f>[2]Sheet1!$B125</f>
        <v>*** (NOT AVAILABLE) ***</v>
      </c>
      <c r="C126" s="16">
        <f>'[3]1st Subject'!$C126</f>
        <v>0</v>
      </c>
      <c r="D126" s="16">
        <f>'[3]1st Subject'!$D126</f>
        <v>0</v>
      </c>
      <c r="E126" s="27">
        <f>D126+C126</f>
        <v>0</v>
      </c>
      <c r="F126" s="18" t="str">
        <f>IF(E126&lt;50,"F",IF(E126&lt;=54.99,"P",IF(E126&lt;=59.99,"C",IF(E126&lt;=64.99,"B",IF(E126&lt;=69.99,"B+",IF(E126&lt;=74.99,"A",IF(E126&lt;=79.99,"A+","O")))))))</f>
        <v>F</v>
      </c>
      <c r="G126" s="18" t="str">
        <f>IF(E126&lt;50,"0",IF(E126&lt;=54.99,"4",IF(E126&lt;=59.99,"5",IF(E126&lt;=64.99,"6",IF(E126&lt;=69.99,"7",IF(E126&lt;=74.99,"8",IF(E126&lt;=79.99,"9","10")))))))</f>
        <v>0</v>
      </c>
      <c r="H126" s="28">
        <v>4</v>
      </c>
      <c r="I126" s="29">
        <f>G126*H126</f>
        <v>0</v>
      </c>
      <c r="J126" s="16">
        <f>'[4]2nd Subject'!$C126</f>
        <v>0</v>
      </c>
      <c r="K126" s="16">
        <f>'[4]2nd Subject'!$D126</f>
        <v>0</v>
      </c>
      <c r="L126" s="27">
        <f>K126+J126</f>
        <v>0</v>
      </c>
      <c r="M126" s="18" t="str">
        <f>IF(L126&lt;50,"F",IF(L126&lt;=54.99,"P",IF(L126&lt;=59.99,"C",IF(L126&lt;=64.99,"B",IF(L126&lt;=69.99,"B+",IF(L126&lt;=74.99,"A",IF(L126&lt;=79.99,"A+","O")))))))</f>
        <v>F</v>
      </c>
      <c r="N126" s="18" t="str">
        <f>IF(L126&lt;50,"0",IF(L126&lt;=54.99,"4",IF(L126&lt;=59.99,"5",IF(L126&lt;=64.99,"6",IF(L126&lt;=69.99,"7",IF(L126&lt;=74.99,"8",IF(L126&lt;=79.99,"9","10")))))))</f>
        <v>0</v>
      </c>
      <c r="O126" s="28">
        <v>4</v>
      </c>
      <c r="P126" s="29">
        <f>N126*O126</f>
        <v>0</v>
      </c>
      <c r="Q126" s="21">
        <f>'[5]3rd Subject'!$C126</f>
        <v>0</v>
      </c>
      <c r="R126" s="21">
        <f>'[5]3rd Subject'!$D126</f>
        <v>0</v>
      </c>
      <c r="S126" s="27">
        <f>R126+Q126</f>
        <v>0</v>
      </c>
      <c r="T126" s="18" t="str">
        <f>IF(S126&lt;50,"F",IF(S126&lt;=54.99,"P",IF(S126&lt;=59.99,"C",IF(S126&lt;=64.99,"B",IF(S126&lt;=69.99,"B+",IF(S126&lt;=74.99,"A",IF(S126&lt;=79.99,"A+","O")))))))</f>
        <v>F</v>
      </c>
      <c r="U126" s="18" t="str">
        <f>IF(S126&lt;50,"0",IF(S126&lt;=54.99,"4",IF(S126&lt;=59.99,"5",IF(S126&lt;=64.99,"6",IF(S126&lt;=69.99,"7",IF(S126&lt;=74.99,"8",IF(S126&lt;=79.99,"9","10")))))))</f>
        <v>0</v>
      </c>
      <c r="V126" s="28">
        <v>4</v>
      </c>
      <c r="W126" s="29">
        <f>U126*V126</f>
        <v>0</v>
      </c>
      <c r="X126" s="22">
        <f>'[6]4th Subject'!$C126</f>
        <v>0</v>
      </c>
      <c r="Y126" s="23">
        <f>'[6]4th Subject'!$D126</f>
        <v>0</v>
      </c>
      <c r="Z126" s="27">
        <f>Y126+X126</f>
        <v>0</v>
      </c>
      <c r="AA126" s="18" t="str">
        <f>IF(Z126&lt;50,"F",IF(Z126&lt;=54.99,"P",IF(Z126&lt;=59.99,"C",IF(Z126&lt;=64.99,"B",IF(Z126&lt;=69.99,"B+",IF(Z126&lt;=74.99,"A",IF(Z126&lt;=79.99,"A+","O")))))))</f>
        <v>F</v>
      </c>
      <c r="AB126" s="18" t="str">
        <f>IF(Z126&lt;50,"0",IF(Z126&lt;=54.99,"4",IF(Z126&lt;=59.99,"5",IF(Z126&lt;=64.99,"6",IF(Z126&lt;=69.99,"7",IF(Z126&lt;=74.99,"8",IF(Z126&lt;=79.99,"9","10")))))))</f>
        <v>0</v>
      </c>
      <c r="AC126" s="28">
        <v>4</v>
      </c>
      <c r="AD126" s="29">
        <f>AB126*AC126</f>
        <v>0</v>
      </c>
      <c r="AE126" s="22">
        <f>'[7]5th Subject'!$C126</f>
        <v>0</v>
      </c>
      <c r="AF126" s="23">
        <f>'[7]5th Subject'!$D126</f>
        <v>0</v>
      </c>
      <c r="AG126" s="27">
        <f>AF126+AE126</f>
        <v>0</v>
      </c>
      <c r="AH126" s="18" t="str">
        <f>IF(AG126&lt;50,"F",IF(AG126&lt;=54.99,"P",IF(AG126&lt;=59.99,"C",IF(AG126&lt;=64.99,"B",IF(AG126&lt;=69.99,"B+",IF(AG126&lt;=74.99,"A",IF(AG126&lt;=79.99,"A+","O")))))))</f>
        <v>F</v>
      </c>
      <c r="AI126" s="18" t="str">
        <f>IF(AG126&lt;50,"0",IF(AG126&lt;=54.99,"4",IF(AG126&lt;=59.99,"5",IF(AG126&lt;=64.99,"6",IF(AG126&lt;=69.99,"7",IF(AG126&lt;=74.99,"8",IF(AG126&lt;=79.99,"9","10")))))))</f>
        <v>0</v>
      </c>
      <c r="AJ126" s="28">
        <v>4</v>
      </c>
      <c r="AK126" s="29">
        <f>AI126*AJ126</f>
        <v>0</v>
      </c>
      <c r="AL126" s="22">
        <f>'[8]6th Subject'!$C126</f>
        <v>0</v>
      </c>
      <c r="AM126" s="22">
        <f>'[8]6th Subject'!$D126</f>
        <v>0</v>
      </c>
      <c r="AN126" s="27">
        <f>AM126+AL126</f>
        <v>0</v>
      </c>
      <c r="AO126" s="18" t="str">
        <f>IF(AN126&lt;50,"F",IF(AN126&lt;=54.99,"P",IF(AN126&lt;=59.99,"C",IF(AN126&lt;=64.99,"B",IF(AN126&lt;=69.99,"B+",IF(AN126&lt;=74.99,"A",IF(AN126&lt;=79.99,"A+","O")))))))</f>
        <v>F</v>
      </c>
      <c r="AP126" s="18" t="str">
        <f>IF(AN126&lt;50,"0",IF(AN126&lt;=54.99,"4",IF(AN126&lt;=59.99,"5",IF(AN126&lt;=64.99,"6",IF(AN126&lt;=69.99,"7",IF(AN126&lt;=74.99,"8",IF(AN126&lt;=79.99,"9","10")))))))</f>
        <v>0</v>
      </c>
      <c r="AQ126" s="28">
        <v>4</v>
      </c>
      <c r="AR126" s="29">
        <f>AP126*AQ126</f>
        <v>0</v>
      </c>
      <c r="AS126" s="16">
        <f>'[9]7th Subject'!$C126</f>
        <v>0</v>
      </c>
      <c r="AT126" s="16">
        <f>'[9]7th Subject'!$D126</f>
        <v>0</v>
      </c>
      <c r="AU126" s="27">
        <f>AT126+AS126</f>
        <v>0</v>
      </c>
      <c r="AV126" s="18" t="str">
        <f>IF(AU126&lt;50,"F",IF(AU126&lt;=54.99,"P",IF(AU126&lt;=59.99,"C",IF(AU126&lt;=64.99,"B",IF(AU126&lt;=69.99,"B+",IF(AU126&lt;=74.99,"A",IF(AU126&lt;=79.99,"A+","O")))))))</f>
        <v>F</v>
      </c>
      <c r="AW126" s="18" t="str">
        <f>IF(AU126&lt;50,"0",IF(AU126&lt;=54.99,"4",IF(AU126&lt;=59.99,"5",IF(AU126&lt;=64.99,"6",IF(AU126&lt;=69.99,"7",IF(AU126&lt;=74.99,"8",IF(AU126&lt;=79.99,"9","10")))))))</f>
        <v>0</v>
      </c>
      <c r="AX126" s="28">
        <v>4</v>
      </c>
      <c r="AY126" s="29">
        <f>AW126*AX126</f>
        <v>0</v>
      </c>
      <c r="AZ126" s="22">
        <f>'[10]8th Subject'!$C126</f>
        <v>0</v>
      </c>
      <c r="BA126" s="22">
        <f>'[10]8th Subject'!$D126</f>
        <v>0</v>
      </c>
      <c r="BB126" s="27">
        <f>BA126+AZ126</f>
        <v>0</v>
      </c>
      <c r="BC126" s="18" t="str">
        <f>IF(BB126&lt;50,"F",IF(BB126&lt;=54.99,"P",IF(BB126&lt;=59.99,"C",IF(BB126&lt;=64.99,"B",IF(BB126&lt;=69.99,"B+",IF(BB126&lt;=74.99,"A",IF(BB126&lt;=79.99,"A+","O")))))))</f>
        <v>F</v>
      </c>
      <c r="BD126" s="18" t="str">
        <f>IF(BB126&lt;50,"0",IF(BB126&lt;=54.99,"4",IF(BB126&lt;=59.99,"5",IF(BB126&lt;=64.99,"6",IF(BB126&lt;=69.99,"7",IF(BB126&lt;=74.99,"8",IF(BB126&lt;=79.99,"9","10")))))))</f>
        <v>0</v>
      </c>
      <c r="BE126" s="28">
        <v>4</v>
      </c>
      <c r="BF126" s="29">
        <f>BD126*BE126</f>
        <v>0</v>
      </c>
      <c r="BG126" s="27">
        <f>AZ126+AS126+AE126+X126+J126+C126+Q126+AL126</f>
        <v>0</v>
      </c>
      <c r="BH126" s="27">
        <f>BA126+AT126+AF126+Y126+K126+D126+R126+AM126</f>
        <v>0</v>
      </c>
      <c r="BI126" s="27">
        <f>BH126+BG126</f>
        <v>0</v>
      </c>
      <c r="BJ126" s="30">
        <f>G126+N126+U126+AB126+AI126+AP126+BD126+AW126</f>
        <v>0</v>
      </c>
      <c r="BK126" s="30">
        <f>I126+P126+W126+AD126+AK126+AY126+BF126+AR126</f>
        <v>0</v>
      </c>
      <c r="BL126" s="25">
        <f>(BN126-0.75)*10</f>
        <v>-7.5</v>
      </c>
      <c r="BM126" s="17" t="str">
        <f>IF(OR(C126&lt;20,D126&lt;30,J126&lt;20,K126&lt;30,Q126&lt;20,R126&lt;30,X126&lt;20,Y126&lt;30,AE126&lt;20,AF126&lt;30,AL126&lt;20,AM126&lt;30,AS126&lt;20,AT126&lt;30,AZ126&lt;20,BA126&lt;30),"Unsuccessful","Successful")</f>
        <v>Unsuccessful</v>
      </c>
      <c r="BN126" s="31">
        <f>BK126/32</f>
        <v>0</v>
      </c>
      <c r="BO126" s="18" t="str">
        <f>IF(BN126&lt;=4,"F",IF(BN126&lt;=4.5,"P",IF(BN126&lt;=5.5,"C",IF(BN126&lt;=6.5,"B",IF(BN126&lt;=7.5,"B+",IF(BN126&lt;=8.5,"A",IF(BN126&lt;=9.5,"A+","O")))))))</f>
        <v>F</v>
      </c>
      <c r="BP126" s="14" t="str">
        <f>IF(BN126&lt;=4,"50",IF(BN126&lt;=4.5,"50-54.99",IF(BN126&lt;=5.5,"55-59.99",IF(BN126&lt;=6.5,"60-64.99",IF(BN126&lt;=7.5,"65-69.99",IF(BN126&lt;=8.5,"70-74.99",IF(BN126&lt;=9.5,"75-79.99","10")))))))</f>
        <v>50</v>
      </c>
      <c r="BS126">
        <f>RANK(BN126,$BN$3:$BN$135)</f>
        <v>118</v>
      </c>
    </row>
    <row r="127" spans="1:71" x14ac:dyDescent="0.25">
      <c r="A127" s="14" t="str">
        <f>[2]Sheet1!$A126</f>
        <v>MMS18-20/125</v>
      </c>
      <c r="B127" s="15" t="str">
        <f>[2]Sheet1!$B126</f>
        <v>*** (NOT AVAILABLE) ***</v>
      </c>
      <c r="C127" s="16">
        <f>'[3]1st Subject'!$C127</f>
        <v>0</v>
      </c>
      <c r="D127" s="16">
        <f>'[3]1st Subject'!$D127</f>
        <v>0</v>
      </c>
      <c r="E127" s="27">
        <f>D127+C127</f>
        <v>0</v>
      </c>
      <c r="F127" s="18" t="str">
        <f>IF(E127&lt;50,"F",IF(E127&lt;=54.99,"P",IF(E127&lt;=59.99,"C",IF(E127&lt;=64.99,"B",IF(E127&lt;=69.99,"B+",IF(E127&lt;=74.99,"A",IF(E127&lt;=79.99,"A+","O")))))))</f>
        <v>F</v>
      </c>
      <c r="G127" s="18" t="str">
        <f>IF(E127&lt;50,"0",IF(E127&lt;=54.99,"4",IF(E127&lt;=59.99,"5",IF(E127&lt;=64.99,"6",IF(E127&lt;=69.99,"7",IF(E127&lt;=74.99,"8",IF(E127&lt;=79.99,"9","10")))))))</f>
        <v>0</v>
      </c>
      <c r="H127" s="28">
        <v>4</v>
      </c>
      <c r="I127" s="29">
        <f>G127*H127</f>
        <v>0</v>
      </c>
      <c r="J127" s="16">
        <f>'[4]2nd Subject'!$C127</f>
        <v>0</v>
      </c>
      <c r="K127" s="16">
        <f>'[4]2nd Subject'!$D127</f>
        <v>0</v>
      </c>
      <c r="L127" s="27">
        <f>K127+J127</f>
        <v>0</v>
      </c>
      <c r="M127" s="18" t="str">
        <f>IF(L127&lt;50,"F",IF(L127&lt;=54.99,"P",IF(L127&lt;=59.99,"C",IF(L127&lt;=64.99,"B",IF(L127&lt;=69.99,"B+",IF(L127&lt;=74.99,"A",IF(L127&lt;=79.99,"A+","O")))))))</f>
        <v>F</v>
      </c>
      <c r="N127" s="18" t="str">
        <f>IF(L127&lt;50,"0",IF(L127&lt;=54.99,"4",IF(L127&lt;=59.99,"5",IF(L127&lt;=64.99,"6",IF(L127&lt;=69.99,"7",IF(L127&lt;=74.99,"8",IF(L127&lt;=79.99,"9","10")))))))</f>
        <v>0</v>
      </c>
      <c r="O127" s="28">
        <v>4</v>
      </c>
      <c r="P127" s="29">
        <f>N127*O127</f>
        <v>0</v>
      </c>
      <c r="Q127" s="21">
        <f>'[5]3rd Subject'!$C127</f>
        <v>0</v>
      </c>
      <c r="R127" s="21">
        <f>'[5]3rd Subject'!$D127</f>
        <v>0</v>
      </c>
      <c r="S127" s="27">
        <f>R127+Q127</f>
        <v>0</v>
      </c>
      <c r="T127" s="18" t="str">
        <f>IF(S127&lt;50,"F",IF(S127&lt;=54.99,"P",IF(S127&lt;=59.99,"C",IF(S127&lt;=64.99,"B",IF(S127&lt;=69.99,"B+",IF(S127&lt;=74.99,"A",IF(S127&lt;=79.99,"A+","O")))))))</f>
        <v>F</v>
      </c>
      <c r="U127" s="18" t="str">
        <f>IF(S127&lt;50,"0",IF(S127&lt;=54.99,"4",IF(S127&lt;=59.99,"5",IF(S127&lt;=64.99,"6",IF(S127&lt;=69.99,"7",IF(S127&lt;=74.99,"8",IF(S127&lt;=79.99,"9","10")))))))</f>
        <v>0</v>
      </c>
      <c r="V127" s="28">
        <v>4</v>
      </c>
      <c r="W127" s="29">
        <f>U127*V127</f>
        <v>0</v>
      </c>
      <c r="X127" s="22">
        <f>'[6]4th Subject'!$C127</f>
        <v>0</v>
      </c>
      <c r="Y127" s="23">
        <f>'[6]4th Subject'!$D127</f>
        <v>0</v>
      </c>
      <c r="Z127" s="27">
        <f>Y127+X127</f>
        <v>0</v>
      </c>
      <c r="AA127" s="18" t="str">
        <f>IF(Z127&lt;50,"F",IF(Z127&lt;=54.99,"P",IF(Z127&lt;=59.99,"C",IF(Z127&lt;=64.99,"B",IF(Z127&lt;=69.99,"B+",IF(Z127&lt;=74.99,"A",IF(Z127&lt;=79.99,"A+","O")))))))</f>
        <v>F</v>
      </c>
      <c r="AB127" s="18" t="str">
        <f>IF(Z127&lt;50,"0",IF(Z127&lt;=54.99,"4",IF(Z127&lt;=59.99,"5",IF(Z127&lt;=64.99,"6",IF(Z127&lt;=69.99,"7",IF(Z127&lt;=74.99,"8",IF(Z127&lt;=79.99,"9","10")))))))</f>
        <v>0</v>
      </c>
      <c r="AC127" s="28">
        <v>4</v>
      </c>
      <c r="AD127" s="29">
        <f>AB127*AC127</f>
        <v>0</v>
      </c>
      <c r="AE127" s="22">
        <f>'[7]5th Subject'!$C127</f>
        <v>0</v>
      </c>
      <c r="AF127" s="23">
        <f>'[7]5th Subject'!$D127</f>
        <v>0</v>
      </c>
      <c r="AG127" s="27">
        <f>AF127+AE127</f>
        <v>0</v>
      </c>
      <c r="AH127" s="18" t="str">
        <f>IF(AG127&lt;50,"F",IF(AG127&lt;=54.99,"P",IF(AG127&lt;=59.99,"C",IF(AG127&lt;=64.99,"B",IF(AG127&lt;=69.99,"B+",IF(AG127&lt;=74.99,"A",IF(AG127&lt;=79.99,"A+","O")))))))</f>
        <v>F</v>
      </c>
      <c r="AI127" s="18" t="str">
        <f>IF(AG127&lt;50,"0",IF(AG127&lt;=54.99,"4",IF(AG127&lt;=59.99,"5",IF(AG127&lt;=64.99,"6",IF(AG127&lt;=69.99,"7",IF(AG127&lt;=74.99,"8",IF(AG127&lt;=79.99,"9","10")))))))</f>
        <v>0</v>
      </c>
      <c r="AJ127" s="28">
        <v>4</v>
      </c>
      <c r="AK127" s="29">
        <f>AI127*AJ127</f>
        <v>0</v>
      </c>
      <c r="AL127" s="22">
        <f>'[8]6th Subject'!$C127</f>
        <v>0</v>
      </c>
      <c r="AM127" s="22">
        <f>'[8]6th Subject'!$D127</f>
        <v>0</v>
      </c>
      <c r="AN127" s="27">
        <f>AM127+AL127</f>
        <v>0</v>
      </c>
      <c r="AO127" s="18" t="str">
        <f>IF(AN127&lt;50,"F",IF(AN127&lt;=54.99,"P",IF(AN127&lt;=59.99,"C",IF(AN127&lt;=64.99,"B",IF(AN127&lt;=69.99,"B+",IF(AN127&lt;=74.99,"A",IF(AN127&lt;=79.99,"A+","O")))))))</f>
        <v>F</v>
      </c>
      <c r="AP127" s="18" t="str">
        <f>IF(AN127&lt;50,"0",IF(AN127&lt;=54.99,"4",IF(AN127&lt;=59.99,"5",IF(AN127&lt;=64.99,"6",IF(AN127&lt;=69.99,"7",IF(AN127&lt;=74.99,"8",IF(AN127&lt;=79.99,"9","10")))))))</f>
        <v>0</v>
      </c>
      <c r="AQ127" s="28">
        <v>4</v>
      </c>
      <c r="AR127" s="29">
        <f>AP127*AQ127</f>
        <v>0</v>
      </c>
      <c r="AS127" s="16">
        <f>'[9]7th Subject'!$C127</f>
        <v>0</v>
      </c>
      <c r="AT127" s="16">
        <f>'[9]7th Subject'!$D127</f>
        <v>0</v>
      </c>
      <c r="AU127" s="27">
        <f>AT127+AS127</f>
        <v>0</v>
      </c>
      <c r="AV127" s="18" t="str">
        <f>IF(AU127&lt;50,"F",IF(AU127&lt;=54.99,"P",IF(AU127&lt;=59.99,"C",IF(AU127&lt;=64.99,"B",IF(AU127&lt;=69.99,"B+",IF(AU127&lt;=74.99,"A",IF(AU127&lt;=79.99,"A+","O")))))))</f>
        <v>F</v>
      </c>
      <c r="AW127" s="18" t="str">
        <f>IF(AU127&lt;50,"0",IF(AU127&lt;=54.99,"4",IF(AU127&lt;=59.99,"5",IF(AU127&lt;=64.99,"6",IF(AU127&lt;=69.99,"7",IF(AU127&lt;=74.99,"8",IF(AU127&lt;=79.99,"9","10")))))))</f>
        <v>0</v>
      </c>
      <c r="AX127" s="28">
        <v>4</v>
      </c>
      <c r="AY127" s="29">
        <f>AW127*AX127</f>
        <v>0</v>
      </c>
      <c r="AZ127" s="22">
        <f>'[10]8th Subject'!$C127</f>
        <v>0</v>
      </c>
      <c r="BA127" s="22">
        <f>'[10]8th Subject'!$D127</f>
        <v>0</v>
      </c>
      <c r="BB127" s="27">
        <f>BA127+AZ127</f>
        <v>0</v>
      </c>
      <c r="BC127" s="18" t="str">
        <f>IF(BB127&lt;50,"F",IF(BB127&lt;=54.99,"P",IF(BB127&lt;=59.99,"C",IF(BB127&lt;=64.99,"B",IF(BB127&lt;=69.99,"B+",IF(BB127&lt;=74.99,"A",IF(BB127&lt;=79.99,"A+","O")))))))</f>
        <v>F</v>
      </c>
      <c r="BD127" s="18" t="str">
        <f>IF(BB127&lt;50,"0",IF(BB127&lt;=54.99,"4",IF(BB127&lt;=59.99,"5",IF(BB127&lt;=64.99,"6",IF(BB127&lt;=69.99,"7",IF(BB127&lt;=74.99,"8",IF(BB127&lt;=79.99,"9","10")))))))</f>
        <v>0</v>
      </c>
      <c r="BE127" s="28">
        <v>4</v>
      </c>
      <c r="BF127" s="29">
        <f>BD127*BE127</f>
        <v>0</v>
      </c>
      <c r="BG127" s="27">
        <f>AZ127+AS127+AE127+X127+J127+C127+Q127+AL127</f>
        <v>0</v>
      </c>
      <c r="BH127" s="27">
        <f>BA127+AT127+AF127+Y127+K127+D127+R127+AM127</f>
        <v>0</v>
      </c>
      <c r="BI127" s="27">
        <f>BH127+BG127</f>
        <v>0</v>
      </c>
      <c r="BJ127" s="30">
        <f>G127+N127+U127+AB127+AI127+AP127+BD127+AW127</f>
        <v>0</v>
      </c>
      <c r="BK127" s="30">
        <f>I127+P127+W127+AD127+AK127+AY127+BF127+AR127</f>
        <v>0</v>
      </c>
      <c r="BL127" s="25">
        <f>(BN127-0.75)*10</f>
        <v>-7.5</v>
      </c>
      <c r="BM127" s="17" t="str">
        <f>IF(OR(C127&lt;20,D127&lt;30,J127&lt;20,K127&lt;30,Q127&lt;20,R127&lt;30,X127&lt;20,Y127&lt;30,AE127&lt;20,AF127&lt;30,AL127&lt;20,AM127&lt;30,AS127&lt;20,AT127&lt;30,AZ127&lt;20,BA127&lt;30),"Unsuccessful","Successful")</f>
        <v>Unsuccessful</v>
      </c>
      <c r="BN127" s="31">
        <f>BK127/32</f>
        <v>0</v>
      </c>
      <c r="BO127" s="18" t="str">
        <f>IF(BN127&lt;=4,"F",IF(BN127&lt;=4.5,"P",IF(BN127&lt;=5.5,"C",IF(BN127&lt;=6.5,"B",IF(BN127&lt;=7.5,"B+",IF(BN127&lt;=8.5,"A",IF(BN127&lt;=9.5,"A+","O")))))))</f>
        <v>F</v>
      </c>
      <c r="BP127" s="14" t="str">
        <f>IF(BN127&lt;=4,"50",IF(BN127&lt;=4.5,"50-54.99",IF(BN127&lt;=5.5,"55-59.99",IF(BN127&lt;=6.5,"60-64.99",IF(BN127&lt;=7.5,"65-69.99",IF(BN127&lt;=8.5,"70-74.99",IF(BN127&lt;=9.5,"75-79.99","10")))))))</f>
        <v>50</v>
      </c>
      <c r="BS127">
        <f>RANK(BN127,$BN$3:$BN$135)</f>
        <v>118</v>
      </c>
    </row>
    <row r="128" spans="1:71" x14ac:dyDescent="0.25">
      <c r="A128" s="14">
        <f>[2]Sheet1!$A127</f>
        <v>0</v>
      </c>
      <c r="B128" s="15">
        <f>[2]Sheet1!$B127</f>
        <v>0</v>
      </c>
      <c r="C128" s="16">
        <f>'[3]1st Subject'!$C128</f>
        <v>0</v>
      </c>
      <c r="D128" s="16">
        <f>'[3]1st Subject'!$D128</f>
        <v>0</v>
      </c>
      <c r="E128" s="27">
        <f>D128+C128</f>
        <v>0</v>
      </c>
      <c r="F128" s="18" t="str">
        <f>IF(E128&lt;50,"F",IF(E128&lt;=54.99,"P",IF(E128&lt;=59.99,"C",IF(E128&lt;=64.99,"B",IF(E128&lt;=69.99,"B+",IF(E128&lt;=74.99,"A",IF(E128&lt;=79.99,"A+","O")))))))</f>
        <v>F</v>
      </c>
      <c r="G128" s="18" t="str">
        <f>IF(E128&lt;50,"0",IF(E128&lt;=54.99,"4",IF(E128&lt;=59.99,"5",IF(E128&lt;=64.99,"6",IF(E128&lt;=69.99,"7",IF(E128&lt;=74.99,"8",IF(E128&lt;=79.99,"9","10")))))))</f>
        <v>0</v>
      </c>
      <c r="H128" s="28">
        <v>4</v>
      </c>
      <c r="I128" s="29">
        <f>G128*H128</f>
        <v>0</v>
      </c>
      <c r="J128" s="16">
        <f>'[4]2nd Subject'!$C128</f>
        <v>0</v>
      </c>
      <c r="K128" s="16">
        <f>'[4]2nd Subject'!$D128</f>
        <v>0</v>
      </c>
      <c r="L128" s="27">
        <f>K128+J128</f>
        <v>0</v>
      </c>
      <c r="M128" s="18" t="str">
        <f>IF(L128&lt;50,"F",IF(L128&lt;=54.99,"P",IF(L128&lt;=59.99,"C",IF(L128&lt;=64.99,"B",IF(L128&lt;=69.99,"B+",IF(L128&lt;=74.99,"A",IF(L128&lt;=79.99,"A+","O")))))))</f>
        <v>F</v>
      </c>
      <c r="N128" s="18" t="str">
        <f>IF(L128&lt;50,"0",IF(L128&lt;=54.99,"4",IF(L128&lt;=59.99,"5",IF(L128&lt;=64.99,"6",IF(L128&lt;=69.99,"7",IF(L128&lt;=74.99,"8",IF(L128&lt;=79.99,"9","10")))))))</f>
        <v>0</v>
      </c>
      <c r="O128" s="28">
        <v>4</v>
      </c>
      <c r="P128" s="29">
        <f>N128*O128</f>
        <v>0</v>
      </c>
      <c r="Q128" s="21">
        <f>'[5]3rd Subject'!$C128</f>
        <v>0</v>
      </c>
      <c r="R128" s="21">
        <f>'[5]3rd Subject'!$D128</f>
        <v>0</v>
      </c>
      <c r="S128" s="27">
        <f>R128+Q128</f>
        <v>0</v>
      </c>
      <c r="T128" s="18" t="str">
        <f>IF(S128&lt;50,"F",IF(S128&lt;=54.99,"P",IF(S128&lt;=59.99,"C",IF(S128&lt;=64.99,"B",IF(S128&lt;=69.99,"B+",IF(S128&lt;=74.99,"A",IF(S128&lt;=79.99,"A+","O")))))))</f>
        <v>F</v>
      </c>
      <c r="U128" s="18" t="str">
        <f>IF(S128&lt;50,"0",IF(S128&lt;=54.99,"4",IF(S128&lt;=59.99,"5",IF(S128&lt;=64.99,"6",IF(S128&lt;=69.99,"7",IF(S128&lt;=74.99,"8",IF(S128&lt;=79.99,"9","10")))))))</f>
        <v>0</v>
      </c>
      <c r="V128" s="28">
        <v>4</v>
      </c>
      <c r="W128" s="29">
        <f>U128*V128</f>
        <v>0</v>
      </c>
      <c r="X128" s="22">
        <f>'[6]4th Subject'!$C128</f>
        <v>0</v>
      </c>
      <c r="Y128" s="23">
        <f>'[6]4th Subject'!$D128</f>
        <v>0</v>
      </c>
      <c r="Z128" s="27">
        <f>Y128+X128</f>
        <v>0</v>
      </c>
      <c r="AA128" s="18" t="str">
        <f>IF(Z128&lt;50,"F",IF(Z128&lt;=54.99,"P",IF(Z128&lt;=59.99,"C",IF(Z128&lt;=64.99,"B",IF(Z128&lt;=69.99,"B+",IF(Z128&lt;=74.99,"A",IF(Z128&lt;=79.99,"A+","O")))))))</f>
        <v>F</v>
      </c>
      <c r="AB128" s="18" t="str">
        <f>IF(Z128&lt;50,"0",IF(Z128&lt;=54.99,"4",IF(Z128&lt;=59.99,"5",IF(Z128&lt;=64.99,"6",IF(Z128&lt;=69.99,"7",IF(Z128&lt;=74.99,"8",IF(Z128&lt;=79.99,"9","10")))))))</f>
        <v>0</v>
      </c>
      <c r="AC128" s="28">
        <v>4</v>
      </c>
      <c r="AD128" s="29">
        <f>AB128*AC128</f>
        <v>0</v>
      </c>
      <c r="AE128" s="22">
        <f>'[7]5th Subject'!$C128</f>
        <v>0</v>
      </c>
      <c r="AF128" s="23">
        <f>'[7]5th Subject'!$D128</f>
        <v>0</v>
      </c>
      <c r="AG128" s="27">
        <f>AF128+AE128</f>
        <v>0</v>
      </c>
      <c r="AH128" s="18" t="str">
        <f>IF(AG128&lt;50,"F",IF(AG128&lt;=54.99,"P",IF(AG128&lt;=59.99,"C",IF(AG128&lt;=64.99,"B",IF(AG128&lt;=69.99,"B+",IF(AG128&lt;=74.99,"A",IF(AG128&lt;=79.99,"A+","O")))))))</f>
        <v>F</v>
      </c>
      <c r="AI128" s="18" t="str">
        <f>IF(AG128&lt;50,"0",IF(AG128&lt;=54.99,"4",IF(AG128&lt;=59.99,"5",IF(AG128&lt;=64.99,"6",IF(AG128&lt;=69.99,"7",IF(AG128&lt;=74.99,"8",IF(AG128&lt;=79.99,"9","10")))))))</f>
        <v>0</v>
      </c>
      <c r="AJ128" s="28">
        <v>4</v>
      </c>
      <c r="AK128" s="29">
        <f>AI128*AJ128</f>
        <v>0</v>
      </c>
      <c r="AL128" s="22">
        <f>'[8]6th Subject'!$C128</f>
        <v>0</v>
      </c>
      <c r="AM128" s="22">
        <f>'[8]6th Subject'!$D128</f>
        <v>0</v>
      </c>
      <c r="AN128" s="27">
        <f>AM128+AL128</f>
        <v>0</v>
      </c>
      <c r="AO128" s="18" t="str">
        <f>IF(AN128&lt;50,"F",IF(AN128&lt;=54.99,"P",IF(AN128&lt;=59.99,"C",IF(AN128&lt;=64.99,"B",IF(AN128&lt;=69.99,"B+",IF(AN128&lt;=74.99,"A",IF(AN128&lt;=79.99,"A+","O")))))))</f>
        <v>F</v>
      </c>
      <c r="AP128" s="18" t="str">
        <f>IF(AN128&lt;50,"0",IF(AN128&lt;=54.99,"4",IF(AN128&lt;=59.99,"5",IF(AN128&lt;=64.99,"6",IF(AN128&lt;=69.99,"7",IF(AN128&lt;=74.99,"8",IF(AN128&lt;=79.99,"9","10")))))))</f>
        <v>0</v>
      </c>
      <c r="AQ128" s="28">
        <v>4</v>
      </c>
      <c r="AR128" s="29">
        <f>AP128*AQ128</f>
        <v>0</v>
      </c>
      <c r="AS128" s="16">
        <f>'[9]7th Subject'!$C128</f>
        <v>0</v>
      </c>
      <c r="AT128" s="16">
        <f>'[9]7th Subject'!$D128</f>
        <v>0</v>
      </c>
      <c r="AU128" s="27">
        <f>AT128+AS128</f>
        <v>0</v>
      </c>
      <c r="AV128" s="18" t="str">
        <f>IF(AU128&lt;50,"F",IF(AU128&lt;=54.99,"P",IF(AU128&lt;=59.99,"C",IF(AU128&lt;=64.99,"B",IF(AU128&lt;=69.99,"B+",IF(AU128&lt;=74.99,"A",IF(AU128&lt;=79.99,"A+","O")))))))</f>
        <v>F</v>
      </c>
      <c r="AW128" s="18" t="str">
        <f>IF(AU128&lt;50,"0",IF(AU128&lt;=54.99,"4",IF(AU128&lt;=59.99,"5",IF(AU128&lt;=64.99,"6",IF(AU128&lt;=69.99,"7",IF(AU128&lt;=74.99,"8",IF(AU128&lt;=79.99,"9","10")))))))</f>
        <v>0</v>
      </c>
      <c r="AX128" s="28">
        <v>4</v>
      </c>
      <c r="AY128" s="29">
        <f>AW128*AX128</f>
        <v>0</v>
      </c>
      <c r="AZ128" s="22">
        <f>'[10]8th Subject'!$C128</f>
        <v>0</v>
      </c>
      <c r="BA128" s="22">
        <f>'[10]8th Subject'!$D128</f>
        <v>0</v>
      </c>
      <c r="BB128" s="27">
        <f>BA128+AZ128</f>
        <v>0</v>
      </c>
      <c r="BC128" s="18" t="str">
        <f>IF(BB128&lt;50,"F",IF(BB128&lt;=54.99,"P",IF(BB128&lt;=59.99,"C",IF(BB128&lt;=64.99,"B",IF(BB128&lt;=69.99,"B+",IF(BB128&lt;=74.99,"A",IF(BB128&lt;=79.99,"A+","O")))))))</f>
        <v>F</v>
      </c>
      <c r="BD128" s="18" t="str">
        <f>IF(BB128&lt;50,"0",IF(BB128&lt;=54.99,"4",IF(BB128&lt;=59.99,"5",IF(BB128&lt;=64.99,"6",IF(BB128&lt;=69.99,"7",IF(BB128&lt;=74.99,"8",IF(BB128&lt;=79.99,"9","10")))))))</f>
        <v>0</v>
      </c>
      <c r="BE128" s="28">
        <v>4</v>
      </c>
      <c r="BF128" s="29">
        <f>BD128*BE128</f>
        <v>0</v>
      </c>
      <c r="BG128" s="27">
        <f>AZ128+AS128+AE128+X128+J128+C128+Q128+AL128</f>
        <v>0</v>
      </c>
      <c r="BH128" s="27">
        <f>BA128+AT128+AF128+Y128+K128+D128+R128+AM128</f>
        <v>0</v>
      </c>
      <c r="BI128" s="27">
        <f>BH128+BG128</f>
        <v>0</v>
      </c>
      <c r="BJ128" s="30">
        <f>G128+N128+U128+AB128+AI128+AP128+BD128+AW128</f>
        <v>0</v>
      </c>
      <c r="BK128" s="30">
        <f>I128+P128+W128+AD128+AK128+AY128+BF128+AR128</f>
        <v>0</v>
      </c>
      <c r="BL128" s="25">
        <f>(BN128-0.75)*10</f>
        <v>-7.5</v>
      </c>
      <c r="BM128" s="17" t="str">
        <f>IF(OR(C128&lt;20,D128&lt;30,J128&lt;20,K128&lt;30,Q128&lt;20,R128&lt;30,X128&lt;20,Y128&lt;30,AE128&lt;20,AF128&lt;30,AL128&lt;20,AM128&lt;30,AS128&lt;20,AT128&lt;30,AZ128&lt;20,BA128&lt;30),"Unsuccessful","Successful")</f>
        <v>Unsuccessful</v>
      </c>
      <c r="BN128" s="31">
        <f>BK128/32</f>
        <v>0</v>
      </c>
      <c r="BO128" s="18" t="str">
        <f>IF(BN128&lt;=4,"F",IF(BN128&lt;=4.5,"P",IF(BN128&lt;=5.5,"C",IF(BN128&lt;=6.5,"B",IF(BN128&lt;=7.5,"B+",IF(BN128&lt;=8.5,"A",IF(BN128&lt;=9.5,"A+","O")))))))</f>
        <v>F</v>
      </c>
      <c r="BP128" s="14" t="str">
        <f>IF(BN128&lt;=4,"50",IF(BN128&lt;=4.5,"50-54.99",IF(BN128&lt;=5.5,"55-59.99",IF(BN128&lt;=6.5,"60-64.99",IF(BN128&lt;=7.5,"65-69.99",IF(BN128&lt;=8.5,"70-74.99",IF(BN128&lt;=9.5,"75-79.99","10")))))))</f>
        <v>50</v>
      </c>
      <c r="BS128">
        <f>RANK(BN128,$BN$3:$BN$135)</f>
        <v>118</v>
      </c>
    </row>
    <row r="129" spans="1:71" x14ac:dyDescent="0.25">
      <c r="A129" s="14">
        <f>[2]Sheet1!$A128</f>
        <v>0</v>
      </c>
      <c r="B129" s="15">
        <f>[2]Sheet1!$B128</f>
        <v>0</v>
      </c>
      <c r="C129" s="16">
        <f>'[3]1st Subject'!$C129</f>
        <v>0</v>
      </c>
      <c r="D129" s="16">
        <f>'[3]1st Subject'!$D129</f>
        <v>0</v>
      </c>
      <c r="E129" s="27">
        <f>D129+C129</f>
        <v>0</v>
      </c>
      <c r="F129" s="18" t="str">
        <f>IF(E129&lt;50,"F",IF(E129&lt;=54.99,"P",IF(E129&lt;=59.99,"C",IF(E129&lt;=64.99,"B",IF(E129&lt;=69.99,"B+",IF(E129&lt;=74.99,"A",IF(E129&lt;=79.99,"A+","O")))))))</f>
        <v>F</v>
      </c>
      <c r="G129" s="18" t="str">
        <f>IF(E129&lt;50,"0",IF(E129&lt;=54.99,"4",IF(E129&lt;=59.99,"5",IF(E129&lt;=64.99,"6",IF(E129&lt;=69.99,"7",IF(E129&lt;=74.99,"8",IF(E129&lt;=79.99,"9","10")))))))</f>
        <v>0</v>
      </c>
      <c r="H129" s="28">
        <v>4</v>
      </c>
      <c r="I129" s="29">
        <f>G129*H129</f>
        <v>0</v>
      </c>
      <c r="J129" s="16">
        <f>'[4]2nd Subject'!$C129</f>
        <v>0</v>
      </c>
      <c r="K129" s="16">
        <f>'[4]2nd Subject'!$D129</f>
        <v>0</v>
      </c>
      <c r="L129" s="27">
        <f>K129+J129</f>
        <v>0</v>
      </c>
      <c r="M129" s="18" t="str">
        <f>IF(L129&lt;50,"F",IF(L129&lt;=54.99,"P",IF(L129&lt;=59.99,"C",IF(L129&lt;=64.99,"B",IF(L129&lt;=69.99,"B+",IF(L129&lt;=74.99,"A",IF(L129&lt;=79.99,"A+","O")))))))</f>
        <v>F</v>
      </c>
      <c r="N129" s="18" t="str">
        <f>IF(L129&lt;50,"0",IF(L129&lt;=54.99,"4",IF(L129&lt;=59.99,"5",IF(L129&lt;=64.99,"6",IF(L129&lt;=69.99,"7",IF(L129&lt;=74.99,"8",IF(L129&lt;=79.99,"9","10")))))))</f>
        <v>0</v>
      </c>
      <c r="O129" s="28">
        <v>4</v>
      </c>
      <c r="P129" s="29">
        <f>N129*O129</f>
        <v>0</v>
      </c>
      <c r="Q129" s="21">
        <f>'[5]3rd Subject'!$C129</f>
        <v>0</v>
      </c>
      <c r="R129" s="21">
        <f>'[5]3rd Subject'!$D129</f>
        <v>0</v>
      </c>
      <c r="S129" s="27">
        <f>R129+Q129</f>
        <v>0</v>
      </c>
      <c r="T129" s="18" t="str">
        <f>IF(S129&lt;50,"F",IF(S129&lt;=54.99,"P",IF(S129&lt;=59.99,"C",IF(S129&lt;=64.99,"B",IF(S129&lt;=69.99,"B+",IF(S129&lt;=74.99,"A",IF(S129&lt;=79.99,"A+","O")))))))</f>
        <v>F</v>
      </c>
      <c r="U129" s="18" t="str">
        <f>IF(S129&lt;50,"0",IF(S129&lt;=54.99,"4",IF(S129&lt;=59.99,"5",IF(S129&lt;=64.99,"6",IF(S129&lt;=69.99,"7",IF(S129&lt;=74.99,"8",IF(S129&lt;=79.99,"9","10")))))))</f>
        <v>0</v>
      </c>
      <c r="V129" s="28">
        <v>4</v>
      </c>
      <c r="W129" s="29">
        <f>U129*V129</f>
        <v>0</v>
      </c>
      <c r="X129" s="22">
        <f>'[6]4th Subject'!$C129</f>
        <v>0</v>
      </c>
      <c r="Y129" s="23">
        <f>'[6]4th Subject'!$D129</f>
        <v>0</v>
      </c>
      <c r="Z129" s="27">
        <f>Y129+X129</f>
        <v>0</v>
      </c>
      <c r="AA129" s="18" t="str">
        <f>IF(Z129&lt;50,"F",IF(Z129&lt;=54.99,"P",IF(Z129&lt;=59.99,"C",IF(Z129&lt;=64.99,"B",IF(Z129&lt;=69.99,"B+",IF(Z129&lt;=74.99,"A",IF(Z129&lt;=79.99,"A+","O")))))))</f>
        <v>F</v>
      </c>
      <c r="AB129" s="18" t="str">
        <f>IF(Z129&lt;50,"0",IF(Z129&lt;=54.99,"4",IF(Z129&lt;=59.99,"5",IF(Z129&lt;=64.99,"6",IF(Z129&lt;=69.99,"7",IF(Z129&lt;=74.99,"8",IF(Z129&lt;=79.99,"9","10")))))))</f>
        <v>0</v>
      </c>
      <c r="AC129" s="28">
        <v>4</v>
      </c>
      <c r="AD129" s="29">
        <f>AB129*AC129</f>
        <v>0</v>
      </c>
      <c r="AE129" s="22">
        <f>'[7]5th Subject'!$C129</f>
        <v>0</v>
      </c>
      <c r="AF129" s="23">
        <f>'[7]5th Subject'!$D129</f>
        <v>0</v>
      </c>
      <c r="AG129" s="27">
        <f>AF129+AE129</f>
        <v>0</v>
      </c>
      <c r="AH129" s="18" t="str">
        <f>IF(AG129&lt;50,"F",IF(AG129&lt;=54.99,"P",IF(AG129&lt;=59.99,"C",IF(AG129&lt;=64.99,"B",IF(AG129&lt;=69.99,"B+",IF(AG129&lt;=74.99,"A",IF(AG129&lt;=79.99,"A+","O")))))))</f>
        <v>F</v>
      </c>
      <c r="AI129" s="18" t="str">
        <f>IF(AG129&lt;50,"0",IF(AG129&lt;=54.99,"4",IF(AG129&lt;=59.99,"5",IF(AG129&lt;=64.99,"6",IF(AG129&lt;=69.99,"7",IF(AG129&lt;=74.99,"8",IF(AG129&lt;=79.99,"9","10")))))))</f>
        <v>0</v>
      </c>
      <c r="AJ129" s="28">
        <v>4</v>
      </c>
      <c r="AK129" s="29">
        <f>AI129*AJ129</f>
        <v>0</v>
      </c>
      <c r="AL129" s="22">
        <f>'[8]6th Subject'!$C129</f>
        <v>0</v>
      </c>
      <c r="AM129" s="22">
        <f>'[8]6th Subject'!$D129</f>
        <v>0</v>
      </c>
      <c r="AN129" s="27">
        <f>AM129+AL129</f>
        <v>0</v>
      </c>
      <c r="AO129" s="18" t="str">
        <f>IF(AN129&lt;50,"F",IF(AN129&lt;=54.99,"P",IF(AN129&lt;=59.99,"C",IF(AN129&lt;=64.99,"B",IF(AN129&lt;=69.99,"B+",IF(AN129&lt;=74.99,"A",IF(AN129&lt;=79.99,"A+","O")))))))</f>
        <v>F</v>
      </c>
      <c r="AP129" s="18" t="str">
        <f>IF(AN129&lt;50,"0",IF(AN129&lt;=54.99,"4",IF(AN129&lt;=59.99,"5",IF(AN129&lt;=64.99,"6",IF(AN129&lt;=69.99,"7",IF(AN129&lt;=74.99,"8",IF(AN129&lt;=79.99,"9","10")))))))</f>
        <v>0</v>
      </c>
      <c r="AQ129" s="28">
        <v>4</v>
      </c>
      <c r="AR129" s="29">
        <f>AP129*AQ129</f>
        <v>0</v>
      </c>
      <c r="AS129" s="16">
        <f>'[9]7th Subject'!$C129</f>
        <v>0</v>
      </c>
      <c r="AT129" s="16">
        <f>'[9]7th Subject'!$D129</f>
        <v>0</v>
      </c>
      <c r="AU129" s="27">
        <f>AT129+AS129</f>
        <v>0</v>
      </c>
      <c r="AV129" s="18" t="str">
        <f>IF(AU129&lt;50,"F",IF(AU129&lt;=54.99,"P",IF(AU129&lt;=59.99,"C",IF(AU129&lt;=64.99,"B",IF(AU129&lt;=69.99,"B+",IF(AU129&lt;=74.99,"A",IF(AU129&lt;=79.99,"A+","O")))))))</f>
        <v>F</v>
      </c>
      <c r="AW129" s="18" t="str">
        <f>IF(AU129&lt;50,"0",IF(AU129&lt;=54.99,"4",IF(AU129&lt;=59.99,"5",IF(AU129&lt;=64.99,"6",IF(AU129&lt;=69.99,"7",IF(AU129&lt;=74.99,"8",IF(AU129&lt;=79.99,"9","10")))))))</f>
        <v>0</v>
      </c>
      <c r="AX129" s="28">
        <v>4</v>
      </c>
      <c r="AY129" s="29">
        <f>AW129*AX129</f>
        <v>0</v>
      </c>
      <c r="AZ129" s="22">
        <f>'[10]8th Subject'!$C129</f>
        <v>0</v>
      </c>
      <c r="BA129" s="22">
        <f>'[10]8th Subject'!$D129</f>
        <v>0</v>
      </c>
      <c r="BB129" s="27">
        <f>BA129+AZ129</f>
        <v>0</v>
      </c>
      <c r="BC129" s="18" t="str">
        <f>IF(BB129&lt;50,"F",IF(BB129&lt;=54.99,"P",IF(BB129&lt;=59.99,"C",IF(BB129&lt;=64.99,"B",IF(BB129&lt;=69.99,"B+",IF(BB129&lt;=74.99,"A",IF(BB129&lt;=79.99,"A+","O")))))))</f>
        <v>F</v>
      </c>
      <c r="BD129" s="18" t="str">
        <f>IF(BB129&lt;50,"0",IF(BB129&lt;=54.99,"4",IF(BB129&lt;=59.99,"5",IF(BB129&lt;=64.99,"6",IF(BB129&lt;=69.99,"7",IF(BB129&lt;=74.99,"8",IF(BB129&lt;=79.99,"9","10")))))))</f>
        <v>0</v>
      </c>
      <c r="BE129" s="28">
        <v>4</v>
      </c>
      <c r="BF129" s="29">
        <f>BD129*BE129</f>
        <v>0</v>
      </c>
      <c r="BG129" s="27">
        <f>AZ129+AS129+AE129+X129+J129+C129+Q129+AL129</f>
        <v>0</v>
      </c>
      <c r="BH129" s="27">
        <f>BA129+AT129+AF129+Y129+K129+D129+R129+AM129</f>
        <v>0</v>
      </c>
      <c r="BI129" s="27">
        <f>BH129+BG129</f>
        <v>0</v>
      </c>
      <c r="BJ129" s="30">
        <f>G129+N129+U129+AB129+AI129+AP129+BD129+AW129</f>
        <v>0</v>
      </c>
      <c r="BK129" s="30">
        <f>I129+P129+W129+AD129+AK129+AY129+BF129+AR129</f>
        <v>0</v>
      </c>
      <c r="BL129" s="25">
        <f>(BN129-0.75)*10</f>
        <v>-7.5</v>
      </c>
      <c r="BM129" s="17" t="str">
        <f>IF(OR(C129&lt;20,D129&lt;30,J129&lt;20,K129&lt;30,Q129&lt;20,R129&lt;30,X129&lt;20,Y129&lt;30,AE129&lt;20,AF129&lt;30,AL129&lt;20,AM129&lt;30,AS129&lt;20,AT129&lt;30,AZ129&lt;20,BA129&lt;30),"Unsuccessful","Successful")</f>
        <v>Unsuccessful</v>
      </c>
      <c r="BN129" s="31">
        <f>BK129/32</f>
        <v>0</v>
      </c>
      <c r="BO129" s="18" t="str">
        <f>IF(BN129&lt;=4,"F",IF(BN129&lt;=4.5,"P",IF(BN129&lt;=5.5,"C",IF(BN129&lt;=6.5,"B",IF(BN129&lt;=7.5,"B+",IF(BN129&lt;=8.5,"A",IF(BN129&lt;=9.5,"A+","O")))))))</f>
        <v>F</v>
      </c>
      <c r="BP129" s="14" t="str">
        <f>IF(BN129&lt;=4,"50",IF(BN129&lt;=4.5,"50-54.99",IF(BN129&lt;=5.5,"55-59.99",IF(BN129&lt;=6.5,"60-64.99",IF(BN129&lt;=7.5,"65-69.99",IF(BN129&lt;=8.5,"70-74.99",IF(BN129&lt;=9.5,"75-79.99","10")))))))</f>
        <v>50</v>
      </c>
      <c r="BS129">
        <f>RANK(BN129,$BN$3:$BN$135)</f>
        <v>118</v>
      </c>
    </row>
    <row r="130" spans="1:71" x14ac:dyDescent="0.25">
      <c r="A130" s="14">
        <f>[2]Sheet1!$A129</f>
        <v>0</v>
      </c>
      <c r="B130" s="15">
        <f>[2]Sheet1!$B129</f>
        <v>0</v>
      </c>
      <c r="C130" s="16">
        <f>'[3]1st Subject'!$C130</f>
        <v>0</v>
      </c>
      <c r="D130" s="16">
        <f>'[3]1st Subject'!$D130</f>
        <v>0</v>
      </c>
      <c r="E130" s="27">
        <f>D130+C130</f>
        <v>0</v>
      </c>
      <c r="F130" s="18" t="str">
        <f>IF(E130&lt;50,"F",IF(E130&lt;=54.99,"P",IF(E130&lt;=59.99,"C",IF(E130&lt;=64.99,"B",IF(E130&lt;=69.99,"B+",IF(E130&lt;=74.99,"A",IF(E130&lt;=79.99,"A+","O")))))))</f>
        <v>F</v>
      </c>
      <c r="G130" s="18" t="str">
        <f>IF(E130&lt;50,"0",IF(E130&lt;=54.99,"4",IF(E130&lt;=59.99,"5",IF(E130&lt;=64.99,"6",IF(E130&lt;=69.99,"7",IF(E130&lt;=74.99,"8",IF(E130&lt;=79.99,"9","10")))))))</f>
        <v>0</v>
      </c>
      <c r="H130" s="28">
        <v>4</v>
      </c>
      <c r="I130" s="29">
        <f>G130*H130</f>
        <v>0</v>
      </c>
      <c r="J130" s="16">
        <f>'[4]2nd Subject'!$C130</f>
        <v>0</v>
      </c>
      <c r="K130" s="16">
        <f>'[4]2nd Subject'!$D130</f>
        <v>0</v>
      </c>
      <c r="L130" s="27">
        <f>K130+J130</f>
        <v>0</v>
      </c>
      <c r="M130" s="18" t="str">
        <f>IF(L130&lt;50,"F",IF(L130&lt;=54.99,"P",IF(L130&lt;=59.99,"C",IF(L130&lt;=64.99,"B",IF(L130&lt;=69.99,"B+",IF(L130&lt;=74.99,"A",IF(L130&lt;=79.99,"A+","O")))))))</f>
        <v>F</v>
      </c>
      <c r="N130" s="18" t="str">
        <f>IF(L130&lt;50,"0",IF(L130&lt;=54.99,"4",IF(L130&lt;=59.99,"5",IF(L130&lt;=64.99,"6",IF(L130&lt;=69.99,"7",IF(L130&lt;=74.99,"8",IF(L130&lt;=79.99,"9","10")))))))</f>
        <v>0</v>
      </c>
      <c r="O130" s="28">
        <v>4</v>
      </c>
      <c r="P130" s="29">
        <f>N130*O130</f>
        <v>0</v>
      </c>
      <c r="Q130" s="21">
        <f>'[5]3rd Subject'!$C130</f>
        <v>0</v>
      </c>
      <c r="R130" s="21">
        <f>'[5]3rd Subject'!$D130</f>
        <v>0</v>
      </c>
      <c r="S130" s="27">
        <f>R130+Q130</f>
        <v>0</v>
      </c>
      <c r="T130" s="18" t="str">
        <f>IF(S130&lt;50,"F",IF(S130&lt;=54.99,"P",IF(S130&lt;=59.99,"C",IF(S130&lt;=64.99,"B",IF(S130&lt;=69.99,"B+",IF(S130&lt;=74.99,"A",IF(S130&lt;=79.99,"A+","O")))))))</f>
        <v>F</v>
      </c>
      <c r="U130" s="18" t="str">
        <f>IF(S130&lt;50,"0",IF(S130&lt;=54.99,"4",IF(S130&lt;=59.99,"5",IF(S130&lt;=64.99,"6",IF(S130&lt;=69.99,"7",IF(S130&lt;=74.99,"8",IF(S130&lt;=79.99,"9","10")))))))</f>
        <v>0</v>
      </c>
      <c r="V130" s="28">
        <v>4</v>
      </c>
      <c r="W130" s="29">
        <f>U130*V130</f>
        <v>0</v>
      </c>
      <c r="X130" s="22">
        <f>'[6]4th Subject'!$C130</f>
        <v>0</v>
      </c>
      <c r="Y130" s="23">
        <f>'[6]4th Subject'!$D130</f>
        <v>0</v>
      </c>
      <c r="Z130" s="27">
        <f>Y130+X130</f>
        <v>0</v>
      </c>
      <c r="AA130" s="18" t="str">
        <f>IF(Z130&lt;50,"F",IF(Z130&lt;=54.99,"P",IF(Z130&lt;=59.99,"C",IF(Z130&lt;=64.99,"B",IF(Z130&lt;=69.99,"B+",IF(Z130&lt;=74.99,"A",IF(Z130&lt;=79.99,"A+","O")))))))</f>
        <v>F</v>
      </c>
      <c r="AB130" s="18" t="str">
        <f>IF(Z130&lt;50,"0",IF(Z130&lt;=54.99,"4",IF(Z130&lt;=59.99,"5",IF(Z130&lt;=64.99,"6",IF(Z130&lt;=69.99,"7",IF(Z130&lt;=74.99,"8",IF(Z130&lt;=79.99,"9","10")))))))</f>
        <v>0</v>
      </c>
      <c r="AC130" s="28">
        <v>4</v>
      </c>
      <c r="AD130" s="29">
        <f>AB130*AC130</f>
        <v>0</v>
      </c>
      <c r="AE130" s="22">
        <f>'[7]5th Subject'!$C130</f>
        <v>0</v>
      </c>
      <c r="AF130" s="23">
        <f>'[7]5th Subject'!$D130</f>
        <v>0</v>
      </c>
      <c r="AG130" s="27">
        <f>AF130+AE130</f>
        <v>0</v>
      </c>
      <c r="AH130" s="18" t="str">
        <f>IF(AG130&lt;50,"F",IF(AG130&lt;=54.99,"P",IF(AG130&lt;=59.99,"C",IF(AG130&lt;=64.99,"B",IF(AG130&lt;=69.99,"B+",IF(AG130&lt;=74.99,"A",IF(AG130&lt;=79.99,"A+","O")))))))</f>
        <v>F</v>
      </c>
      <c r="AI130" s="18" t="str">
        <f>IF(AG130&lt;50,"0",IF(AG130&lt;=54.99,"4",IF(AG130&lt;=59.99,"5",IF(AG130&lt;=64.99,"6",IF(AG130&lt;=69.99,"7",IF(AG130&lt;=74.99,"8",IF(AG130&lt;=79.99,"9","10")))))))</f>
        <v>0</v>
      </c>
      <c r="AJ130" s="28">
        <v>4</v>
      </c>
      <c r="AK130" s="29">
        <f>AI130*AJ130</f>
        <v>0</v>
      </c>
      <c r="AL130" s="22">
        <f>'[8]6th Subject'!$C130</f>
        <v>0</v>
      </c>
      <c r="AM130" s="22">
        <f>'[8]6th Subject'!$D130</f>
        <v>0</v>
      </c>
      <c r="AN130" s="27">
        <f>AM130+AL130</f>
        <v>0</v>
      </c>
      <c r="AO130" s="18" t="str">
        <f>IF(AN130&lt;50,"F",IF(AN130&lt;=54.99,"P",IF(AN130&lt;=59.99,"C",IF(AN130&lt;=64.99,"B",IF(AN130&lt;=69.99,"B+",IF(AN130&lt;=74.99,"A",IF(AN130&lt;=79.99,"A+","O")))))))</f>
        <v>F</v>
      </c>
      <c r="AP130" s="18" t="str">
        <f>IF(AN130&lt;50,"0",IF(AN130&lt;=54.99,"4",IF(AN130&lt;=59.99,"5",IF(AN130&lt;=64.99,"6",IF(AN130&lt;=69.99,"7",IF(AN130&lt;=74.99,"8",IF(AN130&lt;=79.99,"9","10")))))))</f>
        <v>0</v>
      </c>
      <c r="AQ130" s="28">
        <v>4</v>
      </c>
      <c r="AR130" s="29">
        <f>AP130*AQ130</f>
        <v>0</v>
      </c>
      <c r="AS130" s="16">
        <f>'[9]7th Subject'!$C130</f>
        <v>0</v>
      </c>
      <c r="AT130" s="16">
        <f>'[9]7th Subject'!$D130</f>
        <v>0</v>
      </c>
      <c r="AU130" s="27">
        <f>AT130+AS130</f>
        <v>0</v>
      </c>
      <c r="AV130" s="18" t="str">
        <f>IF(AU130&lt;50,"F",IF(AU130&lt;=54.99,"P",IF(AU130&lt;=59.99,"C",IF(AU130&lt;=64.99,"B",IF(AU130&lt;=69.99,"B+",IF(AU130&lt;=74.99,"A",IF(AU130&lt;=79.99,"A+","O")))))))</f>
        <v>F</v>
      </c>
      <c r="AW130" s="18" t="str">
        <f>IF(AU130&lt;50,"0",IF(AU130&lt;=54.99,"4",IF(AU130&lt;=59.99,"5",IF(AU130&lt;=64.99,"6",IF(AU130&lt;=69.99,"7",IF(AU130&lt;=74.99,"8",IF(AU130&lt;=79.99,"9","10")))))))</f>
        <v>0</v>
      </c>
      <c r="AX130" s="28">
        <v>4</v>
      </c>
      <c r="AY130" s="29">
        <f>AW130*AX130</f>
        <v>0</v>
      </c>
      <c r="AZ130" s="22">
        <f>'[10]8th Subject'!$C130</f>
        <v>0</v>
      </c>
      <c r="BA130" s="22">
        <f>'[10]8th Subject'!$D130</f>
        <v>0</v>
      </c>
      <c r="BB130" s="27">
        <f>BA130+AZ130</f>
        <v>0</v>
      </c>
      <c r="BC130" s="18" t="str">
        <f>IF(BB130&lt;50,"F",IF(BB130&lt;=54.99,"P",IF(BB130&lt;=59.99,"C",IF(BB130&lt;=64.99,"B",IF(BB130&lt;=69.99,"B+",IF(BB130&lt;=74.99,"A",IF(BB130&lt;=79.99,"A+","O")))))))</f>
        <v>F</v>
      </c>
      <c r="BD130" s="18" t="str">
        <f>IF(BB130&lt;50,"0",IF(BB130&lt;=54.99,"4",IF(BB130&lt;=59.99,"5",IF(BB130&lt;=64.99,"6",IF(BB130&lt;=69.99,"7",IF(BB130&lt;=74.99,"8",IF(BB130&lt;=79.99,"9","10")))))))</f>
        <v>0</v>
      </c>
      <c r="BE130" s="28">
        <v>4</v>
      </c>
      <c r="BF130" s="29">
        <f>BD130*BE130</f>
        <v>0</v>
      </c>
      <c r="BG130" s="27">
        <f>AZ130+AS130+AE130+X130+J130+C130+Q130+AL130</f>
        <v>0</v>
      </c>
      <c r="BH130" s="27">
        <f>BA130+AT130+AF130+Y130+K130+D130+R130+AM130</f>
        <v>0</v>
      </c>
      <c r="BI130" s="27">
        <f>BH130+BG130</f>
        <v>0</v>
      </c>
      <c r="BJ130" s="30">
        <f>G130+N130+U130+AB130+AI130+AP130+BD130+AW130</f>
        <v>0</v>
      </c>
      <c r="BK130" s="30">
        <f>I130+P130+W130+AD130+AK130+AY130+BF130+AR130</f>
        <v>0</v>
      </c>
      <c r="BL130" s="25">
        <f>(BN130-0.75)*10</f>
        <v>-7.5</v>
      </c>
      <c r="BM130" s="17" t="str">
        <f>IF(OR(C130&lt;20,D130&lt;30,J130&lt;20,K130&lt;30,Q130&lt;20,R130&lt;30,X130&lt;20,Y130&lt;30,AE130&lt;20,AF130&lt;30,AL130&lt;20,AM130&lt;30,AS130&lt;20,AT130&lt;30,AZ130&lt;20,BA130&lt;30),"Unsuccessful","Successful")</f>
        <v>Unsuccessful</v>
      </c>
      <c r="BN130" s="31">
        <f>BK130/32</f>
        <v>0</v>
      </c>
      <c r="BO130" s="18" t="str">
        <f>IF(BN130&lt;=4,"F",IF(BN130&lt;=4.5,"P",IF(BN130&lt;=5.5,"C",IF(BN130&lt;=6.5,"B",IF(BN130&lt;=7.5,"B+",IF(BN130&lt;=8.5,"A",IF(BN130&lt;=9.5,"A+","O")))))))</f>
        <v>F</v>
      </c>
      <c r="BP130" s="14" t="str">
        <f>IF(BN130&lt;=4,"50",IF(BN130&lt;=4.5,"50-54.99",IF(BN130&lt;=5.5,"55-59.99",IF(BN130&lt;=6.5,"60-64.99",IF(BN130&lt;=7.5,"65-69.99",IF(BN130&lt;=8.5,"70-74.99",IF(BN130&lt;=9.5,"75-79.99","10")))))))</f>
        <v>50</v>
      </c>
      <c r="BS130">
        <f>RANK(BN130,$BN$3:$BN$135)</f>
        <v>118</v>
      </c>
    </row>
    <row r="131" spans="1:71" x14ac:dyDescent="0.25">
      <c r="A131" s="14">
        <f>[2]Sheet1!$A130</f>
        <v>0</v>
      </c>
      <c r="B131" s="15">
        <f>[2]Sheet1!$B130</f>
        <v>0</v>
      </c>
      <c r="C131" s="16">
        <f>'[3]1st Subject'!$C131</f>
        <v>0</v>
      </c>
      <c r="D131" s="16">
        <f>'[3]1st Subject'!$D131</f>
        <v>0</v>
      </c>
      <c r="E131" s="27">
        <f>D131+C131</f>
        <v>0</v>
      </c>
      <c r="F131" s="18" t="str">
        <f>IF(E131&lt;50,"F",IF(E131&lt;=54.99,"P",IF(E131&lt;=59.99,"C",IF(E131&lt;=64.99,"B",IF(E131&lt;=69.99,"B+",IF(E131&lt;=74.99,"A",IF(E131&lt;=79.99,"A+","O")))))))</f>
        <v>F</v>
      </c>
      <c r="G131" s="18" t="str">
        <f>IF(E131&lt;50,"0",IF(E131&lt;=54.99,"4",IF(E131&lt;=59.99,"5",IF(E131&lt;=64.99,"6",IF(E131&lt;=69.99,"7",IF(E131&lt;=74.99,"8",IF(E131&lt;=79.99,"9","10")))))))</f>
        <v>0</v>
      </c>
      <c r="H131" s="28">
        <v>4</v>
      </c>
      <c r="I131" s="29">
        <f>G131*H131</f>
        <v>0</v>
      </c>
      <c r="J131" s="16">
        <f>'[4]2nd Subject'!$C131</f>
        <v>0</v>
      </c>
      <c r="K131" s="16">
        <f>'[4]2nd Subject'!$D131</f>
        <v>0</v>
      </c>
      <c r="L131" s="27">
        <f>K131+J131</f>
        <v>0</v>
      </c>
      <c r="M131" s="18" t="str">
        <f>IF(L131&lt;50,"F",IF(L131&lt;=54.99,"P",IF(L131&lt;=59.99,"C",IF(L131&lt;=64.99,"B",IF(L131&lt;=69.99,"B+",IF(L131&lt;=74.99,"A",IF(L131&lt;=79.99,"A+","O")))))))</f>
        <v>F</v>
      </c>
      <c r="N131" s="18" t="str">
        <f>IF(L131&lt;50,"0",IF(L131&lt;=54.99,"4",IF(L131&lt;=59.99,"5",IF(L131&lt;=64.99,"6",IF(L131&lt;=69.99,"7",IF(L131&lt;=74.99,"8",IF(L131&lt;=79.99,"9","10")))))))</f>
        <v>0</v>
      </c>
      <c r="O131" s="28">
        <v>4</v>
      </c>
      <c r="P131" s="29">
        <f>N131*O131</f>
        <v>0</v>
      </c>
      <c r="Q131" s="21">
        <f>'[5]3rd Subject'!$C131</f>
        <v>0</v>
      </c>
      <c r="R131" s="21">
        <f>'[5]3rd Subject'!$D131</f>
        <v>0</v>
      </c>
      <c r="S131" s="27">
        <f>R131+Q131</f>
        <v>0</v>
      </c>
      <c r="T131" s="18" t="str">
        <f>IF(S131&lt;50,"F",IF(S131&lt;=54.99,"P",IF(S131&lt;=59.99,"C",IF(S131&lt;=64.99,"B",IF(S131&lt;=69.99,"B+",IF(S131&lt;=74.99,"A",IF(S131&lt;=79.99,"A+","O")))))))</f>
        <v>F</v>
      </c>
      <c r="U131" s="18" t="str">
        <f>IF(S131&lt;50,"0",IF(S131&lt;=54.99,"4",IF(S131&lt;=59.99,"5",IF(S131&lt;=64.99,"6",IF(S131&lt;=69.99,"7",IF(S131&lt;=74.99,"8",IF(S131&lt;=79.99,"9","10")))))))</f>
        <v>0</v>
      </c>
      <c r="V131" s="28">
        <v>4</v>
      </c>
      <c r="W131" s="29">
        <f>U131*V131</f>
        <v>0</v>
      </c>
      <c r="X131" s="22">
        <f>'[6]4th Subject'!$C131</f>
        <v>0</v>
      </c>
      <c r="Y131" s="23">
        <f>'[6]4th Subject'!$D131</f>
        <v>0</v>
      </c>
      <c r="Z131" s="27">
        <f>Y131+X131</f>
        <v>0</v>
      </c>
      <c r="AA131" s="18" t="str">
        <f>IF(Z131&lt;50,"F",IF(Z131&lt;=54.99,"P",IF(Z131&lt;=59.99,"C",IF(Z131&lt;=64.99,"B",IF(Z131&lt;=69.99,"B+",IF(Z131&lt;=74.99,"A",IF(Z131&lt;=79.99,"A+","O")))))))</f>
        <v>F</v>
      </c>
      <c r="AB131" s="18" t="str">
        <f>IF(Z131&lt;50,"0",IF(Z131&lt;=54.99,"4",IF(Z131&lt;=59.99,"5",IF(Z131&lt;=64.99,"6",IF(Z131&lt;=69.99,"7",IF(Z131&lt;=74.99,"8",IF(Z131&lt;=79.99,"9","10")))))))</f>
        <v>0</v>
      </c>
      <c r="AC131" s="28">
        <v>4</v>
      </c>
      <c r="AD131" s="29">
        <f>AB131*AC131</f>
        <v>0</v>
      </c>
      <c r="AE131" s="22">
        <f>'[7]5th Subject'!$C131</f>
        <v>0</v>
      </c>
      <c r="AF131" s="23">
        <f>'[7]5th Subject'!$D131</f>
        <v>0</v>
      </c>
      <c r="AG131" s="27">
        <f>AF131+AE131</f>
        <v>0</v>
      </c>
      <c r="AH131" s="18" t="str">
        <f>IF(AG131&lt;50,"F",IF(AG131&lt;=54.99,"P",IF(AG131&lt;=59.99,"C",IF(AG131&lt;=64.99,"B",IF(AG131&lt;=69.99,"B+",IF(AG131&lt;=74.99,"A",IF(AG131&lt;=79.99,"A+","O")))))))</f>
        <v>F</v>
      </c>
      <c r="AI131" s="18" t="str">
        <f>IF(AG131&lt;50,"0",IF(AG131&lt;=54.99,"4",IF(AG131&lt;=59.99,"5",IF(AG131&lt;=64.99,"6",IF(AG131&lt;=69.99,"7",IF(AG131&lt;=74.99,"8",IF(AG131&lt;=79.99,"9","10")))))))</f>
        <v>0</v>
      </c>
      <c r="AJ131" s="28">
        <v>4</v>
      </c>
      <c r="AK131" s="29">
        <f>AI131*AJ131</f>
        <v>0</v>
      </c>
      <c r="AL131" s="22">
        <f>'[8]6th Subject'!$C131</f>
        <v>0</v>
      </c>
      <c r="AM131" s="22">
        <f>'[8]6th Subject'!$D131</f>
        <v>0</v>
      </c>
      <c r="AN131" s="27">
        <f>AM131+AL131</f>
        <v>0</v>
      </c>
      <c r="AO131" s="18" t="str">
        <f>IF(AN131&lt;50,"F",IF(AN131&lt;=54.99,"P",IF(AN131&lt;=59.99,"C",IF(AN131&lt;=64.99,"B",IF(AN131&lt;=69.99,"B+",IF(AN131&lt;=74.99,"A",IF(AN131&lt;=79.99,"A+","O")))))))</f>
        <v>F</v>
      </c>
      <c r="AP131" s="18" t="str">
        <f>IF(AN131&lt;50,"0",IF(AN131&lt;=54.99,"4",IF(AN131&lt;=59.99,"5",IF(AN131&lt;=64.99,"6",IF(AN131&lt;=69.99,"7",IF(AN131&lt;=74.99,"8",IF(AN131&lt;=79.99,"9","10")))))))</f>
        <v>0</v>
      </c>
      <c r="AQ131" s="28">
        <v>4</v>
      </c>
      <c r="AR131" s="29">
        <f>AP131*AQ131</f>
        <v>0</v>
      </c>
      <c r="AS131" s="16">
        <f>'[9]7th Subject'!$C131</f>
        <v>0</v>
      </c>
      <c r="AT131" s="16">
        <f>'[9]7th Subject'!$D131</f>
        <v>0</v>
      </c>
      <c r="AU131" s="27">
        <f>AT131+AS131</f>
        <v>0</v>
      </c>
      <c r="AV131" s="18" t="str">
        <f>IF(AU131&lt;50,"F",IF(AU131&lt;=54.99,"P",IF(AU131&lt;=59.99,"C",IF(AU131&lt;=64.99,"B",IF(AU131&lt;=69.99,"B+",IF(AU131&lt;=74.99,"A",IF(AU131&lt;=79.99,"A+","O")))))))</f>
        <v>F</v>
      </c>
      <c r="AW131" s="18" t="str">
        <f>IF(AU131&lt;50,"0",IF(AU131&lt;=54.99,"4",IF(AU131&lt;=59.99,"5",IF(AU131&lt;=64.99,"6",IF(AU131&lt;=69.99,"7",IF(AU131&lt;=74.99,"8",IF(AU131&lt;=79.99,"9","10")))))))</f>
        <v>0</v>
      </c>
      <c r="AX131" s="28">
        <v>4</v>
      </c>
      <c r="AY131" s="29">
        <f>AW131*AX131</f>
        <v>0</v>
      </c>
      <c r="AZ131" s="22">
        <f>'[10]8th Subject'!$C131</f>
        <v>0</v>
      </c>
      <c r="BA131" s="22">
        <f>'[10]8th Subject'!$D131</f>
        <v>0</v>
      </c>
      <c r="BB131" s="27">
        <f>BA131+AZ131</f>
        <v>0</v>
      </c>
      <c r="BC131" s="18" t="str">
        <f>IF(BB131&lt;50,"F",IF(BB131&lt;=54.99,"P",IF(BB131&lt;=59.99,"C",IF(BB131&lt;=64.99,"B",IF(BB131&lt;=69.99,"B+",IF(BB131&lt;=74.99,"A",IF(BB131&lt;=79.99,"A+","O")))))))</f>
        <v>F</v>
      </c>
      <c r="BD131" s="18" t="str">
        <f>IF(BB131&lt;50,"0",IF(BB131&lt;=54.99,"4",IF(BB131&lt;=59.99,"5",IF(BB131&lt;=64.99,"6",IF(BB131&lt;=69.99,"7",IF(BB131&lt;=74.99,"8",IF(BB131&lt;=79.99,"9","10")))))))</f>
        <v>0</v>
      </c>
      <c r="BE131" s="28">
        <v>4</v>
      </c>
      <c r="BF131" s="29">
        <f>BD131*BE131</f>
        <v>0</v>
      </c>
      <c r="BG131" s="27">
        <f>AZ131+AS131+AE131+X131+J131+C131+Q131+AL131</f>
        <v>0</v>
      </c>
      <c r="BH131" s="27">
        <f>BA131+AT131+AF131+Y131+K131+D131+R131+AM131</f>
        <v>0</v>
      </c>
      <c r="BI131" s="27">
        <f>BH131+BG131</f>
        <v>0</v>
      </c>
      <c r="BJ131" s="30">
        <f>G131+N131+U131+AB131+AI131+AP131+BD131+AW131</f>
        <v>0</v>
      </c>
      <c r="BK131" s="30">
        <f>I131+P131+W131+AD131+AK131+AY131+BF131+AR131</f>
        <v>0</v>
      </c>
      <c r="BL131" s="25">
        <f>(BN131-0.75)*10</f>
        <v>-7.5</v>
      </c>
      <c r="BM131" s="17" t="str">
        <f>IF(OR(C131&lt;20,D131&lt;30,J131&lt;20,K131&lt;30,Q131&lt;20,R131&lt;30,X131&lt;20,Y131&lt;30,AE131&lt;20,AF131&lt;30,AL131&lt;20,AM131&lt;30,AS131&lt;20,AT131&lt;30,AZ131&lt;20,BA131&lt;30),"Unsuccessful","Successful")</f>
        <v>Unsuccessful</v>
      </c>
      <c r="BN131" s="31">
        <f>BK131/32</f>
        <v>0</v>
      </c>
      <c r="BO131" s="18" t="str">
        <f>IF(BN131&lt;=4,"F",IF(BN131&lt;=4.5,"P",IF(BN131&lt;=5.5,"C",IF(BN131&lt;=6.5,"B",IF(BN131&lt;=7.5,"B+",IF(BN131&lt;=8.5,"A",IF(BN131&lt;=9.5,"A+","O")))))))</f>
        <v>F</v>
      </c>
      <c r="BP131" s="14" t="str">
        <f>IF(BN131&lt;=4,"50",IF(BN131&lt;=4.5,"50-54.99",IF(BN131&lt;=5.5,"55-59.99",IF(BN131&lt;=6.5,"60-64.99",IF(BN131&lt;=7.5,"65-69.99",IF(BN131&lt;=8.5,"70-74.99",IF(BN131&lt;=9.5,"75-79.99","10")))))))</f>
        <v>50</v>
      </c>
      <c r="BS131">
        <f>RANK(BN131,$BN$3:$BN$135)</f>
        <v>118</v>
      </c>
    </row>
    <row r="132" spans="1:71" x14ac:dyDescent="0.25">
      <c r="A132" s="14">
        <f>[2]Sheet1!$A131</f>
        <v>0</v>
      </c>
      <c r="B132" s="15">
        <f>[2]Sheet1!$B131</f>
        <v>0</v>
      </c>
      <c r="C132" s="16">
        <f>'[3]1st Subject'!$C132</f>
        <v>0</v>
      </c>
      <c r="D132" s="16">
        <f>'[3]1st Subject'!$D132</f>
        <v>0</v>
      </c>
      <c r="E132" s="27">
        <f>D132+C132</f>
        <v>0</v>
      </c>
      <c r="F132" s="18" t="str">
        <f>IF(E132&lt;50,"F",IF(E132&lt;=54.99,"P",IF(E132&lt;=59.99,"C",IF(E132&lt;=64.99,"B",IF(E132&lt;=69.99,"B+",IF(E132&lt;=74.99,"A",IF(E132&lt;=79.99,"A+","O")))))))</f>
        <v>F</v>
      </c>
      <c r="G132" s="18" t="str">
        <f>IF(E132&lt;50,"0",IF(E132&lt;=54.99,"4",IF(E132&lt;=59.99,"5",IF(E132&lt;=64.99,"6",IF(E132&lt;=69.99,"7",IF(E132&lt;=74.99,"8",IF(E132&lt;=79.99,"9","10")))))))</f>
        <v>0</v>
      </c>
      <c r="H132" s="28">
        <v>4</v>
      </c>
      <c r="I132" s="29">
        <f>G132*H132</f>
        <v>0</v>
      </c>
      <c r="J132" s="16">
        <f>'[4]2nd Subject'!$C132</f>
        <v>0</v>
      </c>
      <c r="K132" s="16">
        <f>'[4]2nd Subject'!$D132</f>
        <v>0</v>
      </c>
      <c r="L132" s="27">
        <f>K132+J132</f>
        <v>0</v>
      </c>
      <c r="M132" s="18" t="str">
        <f>IF(L132&lt;50,"F",IF(L132&lt;=54.99,"P",IF(L132&lt;=59.99,"C",IF(L132&lt;=64.99,"B",IF(L132&lt;=69.99,"B+",IF(L132&lt;=74.99,"A",IF(L132&lt;=79.99,"A+","O")))))))</f>
        <v>F</v>
      </c>
      <c r="N132" s="18" t="str">
        <f>IF(L132&lt;50,"0",IF(L132&lt;=54.99,"4",IF(L132&lt;=59.99,"5",IF(L132&lt;=64.99,"6",IF(L132&lt;=69.99,"7",IF(L132&lt;=74.99,"8",IF(L132&lt;=79.99,"9","10")))))))</f>
        <v>0</v>
      </c>
      <c r="O132" s="28">
        <v>4</v>
      </c>
      <c r="P132" s="29">
        <f>N132*O132</f>
        <v>0</v>
      </c>
      <c r="Q132" s="21">
        <f>'[5]3rd Subject'!$C132</f>
        <v>0</v>
      </c>
      <c r="R132" s="21">
        <f>'[5]3rd Subject'!$D132</f>
        <v>0</v>
      </c>
      <c r="S132" s="27">
        <f>R132+Q132</f>
        <v>0</v>
      </c>
      <c r="T132" s="18" t="str">
        <f>IF(S132&lt;50,"F",IF(S132&lt;=54.99,"P",IF(S132&lt;=59.99,"C",IF(S132&lt;=64.99,"B",IF(S132&lt;=69.99,"B+",IF(S132&lt;=74.99,"A",IF(S132&lt;=79.99,"A+","O")))))))</f>
        <v>F</v>
      </c>
      <c r="U132" s="18" t="str">
        <f>IF(S132&lt;50,"0",IF(S132&lt;=54.99,"4",IF(S132&lt;=59.99,"5",IF(S132&lt;=64.99,"6",IF(S132&lt;=69.99,"7",IF(S132&lt;=74.99,"8",IF(S132&lt;=79.99,"9","10")))))))</f>
        <v>0</v>
      </c>
      <c r="V132" s="28">
        <v>4</v>
      </c>
      <c r="W132" s="29">
        <f>U132*V132</f>
        <v>0</v>
      </c>
      <c r="X132" s="22">
        <f>'[6]4th Subject'!$C132</f>
        <v>0</v>
      </c>
      <c r="Y132" s="23">
        <f>'[6]4th Subject'!$D132</f>
        <v>0</v>
      </c>
      <c r="Z132" s="27">
        <f>Y132+X132</f>
        <v>0</v>
      </c>
      <c r="AA132" s="18" t="str">
        <f>IF(Z132&lt;50,"F",IF(Z132&lt;=54.99,"P",IF(Z132&lt;=59.99,"C",IF(Z132&lt;=64.99,"B",IF(Z132&lt;=69.99,"B+",IF(Z132&lt;=74.99,"A",IF(Z132&lt;=79.99,"A+","O")))))))</f>
        <v>F</v>
      </c>
      <c r="AB132" s="18" t="str">
        <f>IF(Z132&lt;50,"0",IF(Z132&lt;=54.99,"4",IF(Z132&lt;=59.99,"5",IF(Z132&lt;=64.99,"6",IF(Z132&lt;=69.99,"7",IF(Z132&lt;=74.99,"8",IF(Z132&lt;=79.99,"9","10")))))))</f>
        <v>0</v>
      </c>
      <c r="AC132" s="28">
        <v>4</v>
      </c>
      <c r="AD132" s="29">
        <f>AB132*AC132</f>
        <v>0</v>
      </c>
      <c r="AE132" s="22">
        <f>'[7]5th Subject'!$C132</f>
        <v>0</v>
      </c>
      <c r="AF132" s="23">
        <f>'[7]5th Subject'!$D132</f>
        <v>0</v>
      </c>
      <c r="AG132" s="27">
        <f>AF132+AE132</f>
        <v>0</v>
      </c>
      <c r="AH132" s="18" t="str">
        <f>IF(AG132&lt;50,"F",IF(AG132&lt;=54.99,"P",IF(AG132&lt;=59.99,"C",IF(AG132&lt;=64.99,"B",IF(AG132&lt;=69.99,"B+",IF(AG132&lt;=74.99,"A",IF(AG132&lt;=79.99,"A+","O")))))))</f>
        <v>F</v>
      </c>
      <c r="AI132" s="18" t="str">
        <f>IF(AG132&lt;50,"0",IF(AG132&lt;=54.99,"4",IF(AG132&lt;=59.99,"5",IF(AG132&lt;=64.99,"6",IF(AG132&lt;=69.99,"7",IF(AG132&lt;=74.99,"8",IF(AG132&lt;=79.99,"9","10")))))))</f>
        <v>0</v>
      </c>
      <c r="AJ132" s="28">
        <v>4</v>
      </c>
      <c r="AK132" s="29">
        <f>AI132*AJ132</f>
        <v>0</v>
      </c>
      <c r="AL132" s="22">
        <f>'[8]6th Subject'!$C132</f>
        <v>0</v>
      </c>
      <c r="AM132" s="22">
        <f>'[8]6th Subject'!$D132</f>
        <v>0</v>
      </c>
      <c r="AN132" s="27">
        <f>AM132+AL132</f>
        <v>0</v>
      </c>
      <c r="AO132" s="18" t="str">
        <f>IF(AN132&lt;50,"F",IF(AN132&lt;=54.99,"P",IF(AN132&lt;=59.99,"C",IF(AN132&lt;=64.99,"B",IF(AN132&lt;=69.99,"B+",IF(AN132&lt;=74.99,"A",IF(AN132&lt;=79.99,"A+","O")))))))</f>
        <v>F</v>
      </c>
      <c r="AP132" s="18" t="str">
        <f>IF(AN132&lt;50,"0",IF(AN132&lt;=54.99,"4",IF(AN132&lt;=59.99,"5",IF(AN132&lt;=64.99,"6",IF(AN132&lt;=69.99,"7",IF(AN132&lt;=74.99,"8",IF(AN132&lt;=79.99,"9","10")))))))</f>
        <v>0</v>
      </c>
      <c r="AQ132" s="28">
        <v>4</v>
      </c>
      <c r="AR132" s="29">
        <f>AP132*AQ132</f>
        <v>0</v>
      </c>
      <c r="AS132" s="16">
        <f>'[9]7th Subject'!$C132</f>
        <v>0</v>
      </c>
      <c r="AT132" s="16">
        <f>'[9]7th Subject'!$D132</f>
        <v>0</v>
      </c>
      <c r="AU132" s="27">
        <f>AT132+AS132</f>
        <v>0</v>
      </c>
      <c r="AV132" s="18" t="str">
        <f>IF(AU132&lt;50,"F",IF(AU132&lt;=54.99,"P",IF(AU132&lt;=59.99,"C",IF(AU132&lt;=64.99,"B",IF(AU132&lt;=69.99,"B+",IF(AU132&lt;=74.99,"A",IF(AU132&lt;=79.99,"A+","O")))))))</f>
        <v>F</v>
      </c>
      <c r="AW132" s="18" t="str">
        <f>IF(AU132&lt;50,"0",IF(AU132&lt;=54.99,"4",IF(AU132&lt;=59.99,"5",IF(AU132&lt;=64.99,"6",IF(AU132&lt;=69.99,"7",IF(AU132&lt;=74.99,"8",IF(AU132&lt;=79.99,"9","10")))))))</f>
        <v>0</v>
      </c>
      <c r="AX132" s="28">
        <v>4</v>
      </c>
      <c r="AY132" s="29">
        <f>AW132*AX132</f>
        <v>0</v>
      </c>
      <c r="AZ132" s="22">
        <f>'[10]8th Subject'!$C132</f>
        <v>0</v>
      </c>
      <c r="BA132" s="22">
        <f>'[10]8th Subject'!$D132</f>
        <v>0</v>
      </c>
      <c r="BB132" s="27">
        <f>BA132+AZ132</f>
        <v>0</v>
      </c>
      <c r="BC132" s="18" t="str">
        <f>IF(BB132&lt;50,"F",IF(BB132&lt;=54.99,"P",IF(BB132&lt;=59.99,"C",IF(BB132&lt;=64.99,"B",IF(BB132&lt;=69.99,"B+",IF(BB132&lt;=74.99,"A",IF(BB132&lt;=79.99,"A+","O")))))))</f>
        <v>F</v>
      </c>
      <c r="BD132" s="18" t="str">
        <f>IF(BB132&lt;50,"0",IF(BB132&lt;=54.99,"4",IF(BB132&lt;=59.99,"5",IF(BB132&lt;=64.99,"6",IF(BB132&lt;=69.99,"7",IF(BB132&lt;=74.99,"8",IF(BB132&lt;=79.99,"9","10")))))))</f>
        <v>0</v>
      </c>
      <c r="BE132" s="28">
        <v>4</v>
      </c>
      <c r="BF132" s="29">
        <f>BD132*BE132</f>
        <v>0</v>
      </c>
      <c r="BG132" s="27">
        <f>AZ132+AS132+AE132+X132+J132+C132+Q132+AL132</f>
        <v>0</v>
      </c>
      <c r="BH132" s="27">
        <f>BA132+AT132+AF132+Y132+K132+D132+R132+AM132</f>
        <v>0</v>
      </c>
      <c r="BI132" s="27">
        <f>BH132+BG132</f>
        <v>0</v>
      </c>
      <c r="BJ132" s="30">
        <f>G132+N132+U132+AB132+AI132+AP132+BD132+AW132</f>
        <v>0</v>
      </c>
      <c r="BK132" s="30">
        <f>I132+P132+W132+AD132+AK132+AY132+BF132+AR132</f>
        <v>0</v>
      </c>
      <c r="BL132" s="25">
        <f>(BN132-0.75)*10</f>
        <v>-7.5</v>
      </c>
      <c r="BM132" s="17" t="str">
        <f>IF(OR(C132&lt;20,D132&lt;30,J132&lt;20,K132&lt;30,Q132&lt;20,R132&lt;30,X132&lt;20,Y132&lt;30,AE132&lt;20,AF132&lt;30,AL132&lt;20,AM132&lt;30,AS132&lt;20,AT132&lt;30,AZ132&lt;20,BA132&lt;30),"Unsuccessful","Successful")</f>
        <v>Unsuccessful</v>
      </c>
      <c r="BN132" s="31">
        <f>BK132/32</f>
        <v>0</v>
      </c>
      <c r="BO132" s="18" t="str">
        <f>IF(BN132&lt;=4,"F",IF(BN132&lt;=4.5,"P",IF(BN132&lt;=5.5,"C",IF(BN132&lt;=6.5,"B",IF(BN132&lt;=7.5,"B+",IF(BN132&lt;=8.5,"A",IF(BN132&lt;=9.5,"A+","O")))))))</f>
        <v>F</v>
      </c>
      <c r="BP132" s="14" t="str">
        <f>IF(BN132&lt;=4,"50",IF(BN132&lt;=4.5,"50-54.99",IF(BN132&lt;=5.5,"55-59.99",IF(BN132&lt;=6.5,"60-64.99",IF(BN132&lt;=7.5,"65-69.99",IF(BN132&lt;=8.5,"70-74.99",IF(BN132&lt;=9.5,"75-79.99","10")))))))</f>
        <v>50</v>
      </c>
      <c r="BS132">
        <f>RANK(BN132,$BN$3:$BN$135)</f>
        <v>118</v>
      </c>
    </row>
    <row r="133" spans="1:71" x14ac:dyDescent="0.25">
      <c r="A133" s="14">
        <f>[2]Sheet1!$A132</f>
        <v>0</v>
      </c>
      <c r="B133" s="15">
        <f>[2]Sheet1!$B132</f>
        <v>0</v>
      </c>
      <c r="C133" s="16">
        <f>'[3]1st Subject'!$C133</f>
        <v>0</v>
      </c>
      <c r="D133" s="16">
        <f>'[3]1st Subject'!$D133</f>
        <v>0</v>
      </c>
      <c r="E133" s="27">
        <f>D133+C133</f>
        <v>0</v>
      </c>
      <c r="F133" s="18" t="str">
        <f>IF(E133&lt;50,"F",IF(E133&lt;=54.99,"P",IF(E133&lt;=59.99,"C",IF(E133&lt;=64.99,"B",IF(E133&lt;=69.99,"B+",IF(E133&lt;=74.99,"A",IF(E133&lt;=79.99,"A+","O")))))))</f>
        <v>F</v>
      </c>
      <c r="G133" s="18" t="str">
        <f>IF(E133&lt;50,"0",IF(E133&lt;=54.99,"4",IF(E133&lt;=59.99,"5",IF(E133&lt;=64.99,"6",IF(E133&lt;=69.99,"7",IF(E133&lt;=74.99,"8",IF(E133&lt;=79.99,"9","10")))))))</f>
        <v>0</v>
      </c>
      <c r="H133" s="28">
        <v>4</v>
      </c>
      <c r="I133" s="29">
        <f>G133*H133</f>
        <v>0</v>
      </c>
      <c r="J133" s="16">
        <f>'[4]2nd Subject'!$C133</f>
        <v>0</v>
      </c>
      <c r="K133" s="16">
        <f>'[4]2nd Subject'!$D133</f>
        <v>0</v>
      </c>
      <c r="L133" s="27">
        <f>K133+J133</f>
        <v>0</v>
      </c>
      <c r="M133" s="18" t="str">
        <f>IF(L133&lt;50,"F",IF(L133&lt;=54.99,"P",IF(L133&lt;=59.99,"C",IF(L133&lt;=64.99,"B",IF(L133&lt;=69.99,"B+",IF(L133&lt;=74.99,"A",IF(L133&lt;=79.99,"A+","O")))))))</f>
        <v>F</v>
      </c>
      <c r="N133" s="18" t="str">
        <f>IF(L133&lt;50,"0",IF(L133&lt;=54.99,"4",IF(L133&lt;=59.99,"5",IF(L133&lt;=64.99,"6",IF(L133&lt;=69.99,"7",IF(L133&lt;=74.99,"8",IF(L133&lt;=79.99,"9","10")))))))</f>
        <v>0</v>
      </c>
      <c r="O133" s="28">
        <v>4</v>
      </c>
      <c r="P133" s="29">
        <f>N133*O133</f>
        <v>0</v>
      </c>
      <c r="Q133" s="21">
        <f>'[5]3rd Subject'!$C133</f>
        <v>0</v>
      </c>
      <c r="R133" s="21">
        <f>'[5]3rd Subject'!$D133</f>
        <v>0</v>
      </c>
      <c r="S133" s="27">
        <f>R133+Q133</f>
        <v>0</v>
      </c>
      <c r="T133" s="18" t="str">
        <f>IF(S133&lt;50,"F",IF(S133&lt;=54.99,"P",IF(S133&lt;=59.99,"C",IF(S133&lt;=64.99,"B",IF(S133&lt;=69.99,"B+",IF(S133&lt;=74.99,"A",IF(S133&lt;=79.99,"A+","O")))))))</f>
        <v>F</v>
      </c>
      <c r="U133" s="18" t="str">
        <f>IF(S133&lt;50,"0",IF(S133&lt;=54.99,"4",IF(S133&lt;=59.99,"5",IF(S133&lt;=64.99,"6",IF(S133&lt;=69.99,"7",IF(S133&lt;=74.99,"8",IF(S133&lt;=79.99,"9","10")))))))</f>
        <v>0</v>
      </c>
      <c r="V133" s="28">
        <v>4</v>
      </c>
      <c r="W133" s="29">
        <f>U133*V133</f>
        <v>0</v>
      </c>
      <c r="X133" s="22">
        <f>'[6]4th Subject'!$C133</f>
        <v>0</v>
      </c>
      <c r="Y133" s="23">
        <f>'[6]4th Subject'!$D133</f>
        <v>0</v>
      </c>
      <c r="Z133" s="27">
        <f>Y133+X133</f>
        <v>0</v>
      </c>
      <c r="AA133" s="18" t="str">
        <f>IF(Z133&lt;50,"F",IF(Z133&lt;=54.99,"P",IF(Z133&lt;=59.99,"C",IF(Z133&lt;=64.99,"B",IF(Z133&lt;=69.99,"B+",IF(Z133&lt;=74.99,"A",IF(Z133&lt;=79.99,"A+","O")))))))</f>
        <v>F</v>
      </c>
      <c r="AB133" s="18" t="str">
        <f>IF(Z133&lt;50,"0",IF(Z133&lt;=54.99,"4",IF(Z133&lt;=59.99,"5",IF(Z133&lt;=64.99,"6",IF(Z133&lt;=69.99,"7",IF(Z133&lt;=74.99,"8",IF(Z133&lt;=79.99,"9","10")))))))</f>
        <v>0</v>
      </c>
      <c r="AC133" s="28">
        <v>4</v>
      </c>
      <c r="AD133" s="29">
        <f>AB133*AC133</f>
        <v>0</v>
      </c>
      <c r="AE133" s="22">
        <f>'[7]5th Subject'!$C133</f>
        <v>0</v>
      </c>
      <c r="AF133" s="23">
        <f>'[7]5th Subject'!$D133</f>
        <v>0</v>
      </c>
      <c r="AG133" s="27">
        <f>AF133+AE133</f>
        <v>0</v>
      </c>
      <c r="AH133" s="18" t="str">
        <f>IF(AG133&lt;50,"F",IF(AG133&lt;=54.99,"P",IF(AG133&lt;=59.99,"C",IF(AG133&lt;=64.99,"B",IF(AG133&lt;=69.99,"B+",IF(AG133&lt;=74.99,"A",IF(AG133&lt;=79.99,"A+","O")))))))</f>
        <v>F</v>
      </c>
      <c r="AI133" s="18" t="str">
        <f>IF(AG133&lt;50,"0",IF(AG133&lt;=54.99,"4",IF(AG133&lt;=59.99,"5",IF(AG133&lt;=64.99,"6",IF(AG133&lt;=69.99,"7",IF(AG133&lt;=74.99,"8",IF(AG133&lt;=79.99,"9","10")))))))</f>
        <v>0</v>
      </c>
      <c r="AJ133" s="28">
        <v>4</v>
      </c>
      <c r="AK133" s="29">
        <f>AI133*AJ133</f>
        <v>0</v>
      </c>
      <c r="AL133" s="22">
        <f>'[8]6th Subject'!$C133</f>
        <v>0</v>
      </c>
      <c r="AM133" s="22">
        <f>'[8]6th Subject'!$D133</f>
        <v>0</v>
      </c>
      <c r="AN133" s="27">
        <f>AM133+AL133</f>
        <v>0</v>
      </c>
      <c r="AO133" s="18" t="str">
        <f>IF(AN133&lt;50,"F",IF(AN133&lt;=54.99,"P",IF(AN133&lt;=59.99,"C",IF(AN133&lt;=64.99,"B",IF(AN133&lt;=69.99,"B+",IF(AN133&lt;=74.99,"A",IF(AN133&lt;=79.99,"A+","O")))))))</f>
        <v>F</v>
      </c>
      <c r="AP133" s="18" t="str">
        <f>IF(AN133&lt;50,"0",IF(AN133&lt;=54.99,"4",IF(AN133&lt;=59.99,"5",IF(AN133&lt;=64.99,"6",IF(AN133&lt;=69.99,"7",IF(AN133&lt;=74.99,"8",IF(AN133&lt;=79.99,"9","10")))))))</f>
        <v>0</v>
      </c>
      <c r="AQ133" s="28">
        <v>4</v>
      </c>
      <c r="AR133" s="29">
        <f>AP133*AQ133</f>
        <v>0</v>
      </c>
      <c r="AS133" s="16">
        <f>'[9]7th Subject'!$C133</f>
        <v>0</v>
      </c>
      <c r="AT133" s="16">
        <f>'[9]7th Subject'!$D133</f>
        <v>0</v>
      </c>
      <c r="AU133" s="27">
        <f>AT133+AS133</f>
        <v>0</v>
      </c>
      <c r="AV133" s="18" t="str">
        <f>IF(AU133&lt;50,"F",IF(AU133&lt;=54.99,"P",IF(AU133&lt;=59.99,"C",IF(AU133&lt;=64.99,"B",IF(AU133&lt;=69.99,"B+",IF(AU133&lt;=74.99,"A",IF(AU133&lt;=79.99,"A+","O")))))))</f>
        <v>F</v>
      </c>
      <c r="AW133" s="18" t="str">
        <f>IF(AU133&lt;50,"0",IF(AU133&lt;=54.99,"4",IF(AU133&lt;=59.99,"5",IF(AU133&lt;=64.99,"6",IF(AU133&lt;=69.99,"7",IF(AU133&lt;=74.99,"8",IF(AU133&lt;=79.99,"9","10")))))))</f>
        <v>0</v>
      </c>
      <c r="AX133" s="28">
        <v>4</v>
      </c>
      <c r="AY133" s="29">
        <f>AW133*AX133</f>
        <v>0</v>
      </c>
      <c r="AZ133" s="22">
        <f>'[10]8th Subject'!$C133</f>
        <v>0</v>
      </c>
      <c r="BA133" s="22">
        <f>'[10]8th Subject'!$D133</f>
        <v>0</v>
      </c>
      <c r="BB133" s="27">
        <f>BA133+AZ133</f>
        <v>0</v>
      </c>
      <c r="BC133" s="18" t="str">
        <f>IF(BB133&lt;50,"F",IF(BB133&lt;=54.99,"P",IF(BB133&lt;=59.99,"C",IF(BB133&lt;=64.99,"B",IF(BB133&lt;=69.99,"B+",IF(BB133&lt;=74.99,"A",IF(BB133&lt;=79.99,"A+","O")))))))</f>
        <v>F</v>
      </c>
      <c r="BD133" s="18" t="str">
        <f>IF(BB133&lt;50,"0",IF(BB133&lt;=54.99,"4",IF(BB133&lt;=59.99,"5",IF(BB133&lt;=64.99,"6",IF(BB133&lt;=69.99,"7",IF(BB133&lt;=74.99,"8",IF(BB133&lt;=79.99,"9","10")))))))</f>
        <v>0</v>
      </c>
      <c r="BE133" s="28">
        <v>4</v>
      </c>
      <c r="BF133" s="29">
        <f>BD133*BE133</f>
        <v>0</v>
      </c>
      <c r="BG133" s="27">
        <f>AZ133+AS133+AE133+X133+J133+C133+Q133+AL133</f>
        <v>0</v>
      </c>
      <c r="BH133" s="27">
        <f>BA133+AT133+AF133+Y133+K133+D133+R133+AM133</f>
        <v>0</v>
      </c>
      <c r="BI133" s="27">
        <f>BH133+BG133</f>
        <v>0</v>
      </c>
      <c r="BJ133" s="30">
        <f>G133+N133+U133+AB133+AI133+AP133+BD133+AW133</f>
        <v>0</v>
      </c>
      <c r="BK133" s="30">
        <f>I133+P133+W133+AD133+AK133+AY133+BF133+AR133</f>
        <v>0</v>
      </c>
      <c r="BL133" s="25">
        <f>(BN133-0.75)*10</f>
        <v>-7.5</v>
      </c>
      <c r="BM133" s="17" t="str">
        <f>IF(OR(C133&lt;20,D133&lt;30,J133&lt;20,K133&lt;30,Q133&lt;20,R133&lt;30,X133&lt;20,Y133&lt;30,AE133&lt;20,AF133&lt;30,AL133&lt;20,AM133&lt;30,AS133&lt;20,AT133&lt;30,AZ133&lt;20,BA133&lt;30),"Unsuccessful","Successful")</f>
        <v>Unsuccessful</v>
      </c>
      <c r="BN133" s="31">
        <f>BK133/32</f>
        <v>0</v>
      </c>
      <c r="BO133" s="18" t="str">
        <f>IF(BN133&lt;=4,"F",IF(BN133&lt;=4.5,"P",IF(BN133&lt;=5.5,"C",IF(BN133&lt;=6.5,"B",IF(BN133&lt;=7.5,"B+",IF(BN133&lt;=8.5,"A",IF(BN133&lt;=9.5,"A+","O")))))))</f>
        <v>F</v>
      </c>
      <c r="BP133" s="14" t="str">
        <f>IF(BN133&lt;=4,"50",IF(BN133&lt;=4.5,"50-54.99",IF(BN133&lt;=5.5,"55-59.99",IF(BN133&lt;=6.5,"60-64.99",IF(BN133&lt;=7.5,"65-69.99",IF(BN133&lt;=8.5,"70-74.99",IF(BN133&lt;=9.5,"75-79.99","10")))))))</f>
        <v>50</v>
      </c>
      <c r="BS133">
        <f>RANK(BN133,$BN$3:$BN$135)</f>
        <v>118</v>
      </c>
    </row>
    <row r="134" spans="1:71" x14ac:dyDescent="0.25">
      <c r="A134" s="14">
        <f>[2]Sheet1!$A133</f>
        <v>0</v>
      </c>
      <c r="B134" s="15">
        <f>[2]Sheet1!$B133</f>
        <v>0</v>
      </c>
      <c r="C134" s="16">
        <f>'[3]1st Subject'!$C134</f>
        <v>0</v>
      </c>
      <c r="D134" s="16">
        <f>'[3]1st Subject'!$D134</f>
        <v>0</v>
      </c>
      <c r="E134" s="27">
        <f>D134+C134</f>
        <v>0</v>
      </c>
      <c r="F134" s="18" t="str">
        <f>IF(E134&lt;50,"F",IF(E134&lt;=54.99,"P",IF(E134&lt;=59.99,"C",IF(E134&lt;=64.99,"B",IF(E134&lt;=69.99,"B+",IF(E134&lt;=74.99,"A",IF(E134&lt;=79.99,"A+","O")))))))</f>
        <v>F</v>
      </c>
      <c r="G134" s="18" t="str">
        <f>IF(E134&lt;50,"0",IF(E134&lt;=54.99,"4",IF(E134&lt;=59.99,"5",IF(E134&lt;=64.99,"6",IF(E134&lt;=69.99,"7",IF(E134&lt;=74.99,"8",IF(E134&lt;=79.99,"9","10")))))))</f>
        <v>0</v>
      </c>
      <c r="H134" s="28">
        <v>4</v>
      </c>
      <c r="I134" s="29">
        <f>G134*H134</f>
        <v>0</v>
      </c>
      <c r="J134" s="16">
        <f>'[4]2nd Subject'!$C134</f>
        <v>0</v>
      </c>
      <c r="K134" s="16">
        <f>'[4]2nd Subject'!$D134</f>
        <v>0</v>
      </c>
      <c r="L134" s="27">
        <f>K134+J134</f>
        <v>0</v>
      </c>
      <c r="M134" s="18" t="str">
        <f>IF(L134&lt;50,"F",IF(L134&lt;=54.99,"P",IF(L134&lt;=59.99,"C",IF(L134&lt;=64.99,"B",IF(L134&lt;=69.99,"B+",IF(L134&lt;=74.99,"A",IF(L134&lt;=79.99,"A+","O")))))))</f>
        <v>F</v>
      </c>
      <c r="N134" s="18" t="str">
        <f>IF(L134&lt;50,"0",IF(L134&lt;=54.99,"4",IF(L134&lt;=59.99,"5",IF(L134&lt;=64.99,"6",IF(L134&lt;=69.99,"7",IF(L134&lt;=74.99,"8",IF(L134&lt;=79.99,"9","10")))))))</f>
        <v>0</v>
      </c>
      <c r="O134" s="28">
        <v>4</v>
      </c>
      <c r="P134" s="29">
        <f>N134*O134</f>
        <v>0</v>
      </c>
      <c r="Q134" s="21">
        <f>'[5]3rd Subject'!$C134</f>
        <v>0</v>
      </c>
      <c r="R134" s="21">
        <f>'[5]3rd Subject'!$D134</f>
        <v>0</v>
      </c>
      <c r="S134" s="27">
        <f>R134+Q134</f>
        <v>0</v>
      </c>
      <c r="T134" s="18" t="str">
        <f>IF(S134&lt;50,"F",IF(S134&lt;=54.99,"P",IF(S134&lt;=59.99,"C",IF(S134&lt;=64.99,"B",IF(S134&lt;=69.99,"B+",IF(S134&lt;=74.99,"A",IF(S134&lt;=79.99,"A+","O")))))))</f>
        <v>F</v>
      </c>
      <c r="U134" s="18" t="str">
        <f>IF(S134&lt;50,"0",IF(S134&lt;=54.99,"4",IF(S134&lt;=59.99,"5",IF(S134&lt;=64.99,"6",IF(S134&lt;=69.99,"7",IF(S134&lt;=74.99,"8",IF(S134&lt;=79.99,"9","10")))))))</f>
        <v>0</v>
      </c>
      <c r="V134" s="28">
        <v>4</v>
      </c>
      <c r="W134" s="29">
        <f>U134*V134</f>
        <v>0</v>
      </c>
      <c r="X134" s="22">
        <f>'[6]4th Subject'!$C134</f>
        <v>0</v>
      </c>
      <c r="Y134" s="23">
        <f>'[6]4th Subject'!$D134</f>
        <v>0</v>
      </c>
      <c r="Z134" s="27">
        <f>Y134+X134</f>
        <v>0</v>
      </c>
      <c r="AA134" s="18" t="str">
        <f>IF(Z134&lt;50,"F",IF(Z134&lt;=54.99,"P",IF(Z134&lt;=59.99,"C",IF(Z134&lt;=64.99,"B",IF(Z134&lt;=69.99,"B+",IF(Z134&lt;=74.99,"A",IF(Z134&lt;=79.99,"A+","O")))))))</f>
        <v>F</v>
      </c>
      <c r="AB134" s="18" t="str">
        <f>IF(Z134&lt;50,"0",IF(Z134&lt;=54.99,"4",IF(Z134&lt;=59.99,"5",IF(Z134&lt;=64.99,"6",IF(Z134&lt;=69.99,"7",IF(Z134&lt;=74.99,"8",IF(Z134&lt;=79.99,"9","10")))))))</f>
        <v>0</v>
      </c>
      <c r="AC134" s="28">
        <v>4</v>
      </c>
      <c r="AD134" s="29">
        <f>AB134*AC134</f>
        <v>0</v>
      </c>
      <c r="AE134" s="22">
        <f>'[7]5th Subject'!$C134</f>
        <v>0</v>
      </c>
      <c r="AF134" s="23">
        <f>'[7]5th Subject'!$D134</f>
        <v>0</v>
      </c>
      <c r="AG134" s="27">
        <f>AF134+AE134</f>
        <v>0</v>
      </c>
      <c r="AH134" s="18" t="str">
        <f>IF(AG134&lt;50,"F",IF(AG134&lt;=54.99,"P",IF(AG134&lt;=59.99,"C",IF(AG134&lt;=64.99,"B",IF(AG134&lt;=69.99,"B+",IF(AG134&lt;=74.99,"A",IF(AG134&lt;=79.99,"A+","O")))))))</f>
        <v>F</v>
      </c>
      <c r="AI134" s="18" t="str">
        <f>IF(AG134&lt;50,"0",IF(AG134&lt;=54.99,"4",IF(AG134&lt;=59.99,"5",IF(AG134&lt;=64.99,"6",IF(AG134&lt;=69.99,"7",IF(AG134&lt;=74.99,"8",IF(AG134&lt;=79.99,"9","10")))))))</f>
        <v>0</v>
      </c>
      <c r="AJ134" s="28">
        <v>4</v>
      </c>
      <c r="AK134" s="29">
        <f>AI134*AJ134</f>
        <v>0</v>
      </c>
      <c r="AL134" s="22">
        <f>'[8]6th Subject'!$C134</f>
        <v>0</v>
      </c>
      <c r="AM134" s="22">
        <f>'[8]6th Subject'!$D134</f>
        <v>0</v>
      </c>
      <c r="AN134" s="27">
        <f>AM134+AL134</f>
        <v>0</v>
      </c>
      <c r="AO134" s="18" t="str">
        <f>IF(AN134&lt;50,"F",IF(AN134&lt;=54.99,"P",IF(AN134&lt;=59.99,"C",IF(AN134&lt;=64.99,"B",IF(AN134&lt;=69.99,"B+",IF(AN134&lt;=74.99,"A",IF(AN134&lt;=79.99,"A+","O")))))))</f>
        <v>F</v>
      </c>
      <c r="AP134" s="18" t="str">
        <f>IF(AN134&lt;50,"0",IF(AN134&lt;=54.99,"4",IF(AN134&lt;=59.99,"5",IF(AN134&lt;=64.99,"6",IF(AN134&lt;=69.99,"7",IF(AN134&lt;=74.99,"8",IF(AN134&lt;=79.99,"9","10")))))))</f>
        <v>0</v>
      </c>
      <c r="AQ134" s="28">
        <v>4</v>
      </c>
      <c r="AR134" s="29">
        <f>AP134*AQ134</f>
        <v>0</v>
      </c>
      <c r="AS134" s="16">
        <f>'[9]7th Subject'!$C134</f>
        <v>0</v>
      </c>
      <c r="AT134" s="16">
        <f>'[9]7th Subject'!$D134</f>
        <v>0</v>
      </c>
      <c r="AU134" s="27">
        <f>AT134+AS134</f>
        <v>0</v>
      </c>
      <c r="AV134" s="18" t="str">
        <f>IF(AU134&lt;50,"F",IF(AU134&lt;=54.99,"P",IF(AU134&lt;=59.99,"C",IF(AU134&lt;=64.99,"B",IF(AU134&lt;=69.99,"B+",IF(AU134&lt;=74.99,"A",IF(AU134&lt;=79.99,"A+","O")))))))</f>
        <v>F</v>
      </c>
      <c r="AW134" s="18" t="str">
        <f>IF(AU134&lt;50,"0",IF(AU134&lt;=54.99,"4",IF(AU134&lt;=59.99,"5",IF(AU134&lt;=64.99,"6",IF(AU134&lt;=69.99,"7",IF(AU134&lt;=74.99,"8",IF(AU134&lt;=79.99,"9","10")))))))</f>
        <v>0</v>
      </c>
      <c r="AX134" s="28">
        <v>4</v>
      </c>
      <c r="AY134" s="29">
        <f>AW134*AX134</f>
        <v>0</v>
      </c>
      <c r="AZ134" s="22">
        <f>'[10]8th Subject'!$C134</f>
        <v>0</v>
      </c>
      <c r="BA134" s="22">
        <f>'[10]8th Subject'!$D134</f>
        <v>0</v>
      </c>
      <c r="BB134" s="27">
        <f>BA134+AZ134</f>
        <v>0</v>
      </c>
      <c r="BC134" s="18" t="str">
        <f>IF(BB134&lt;50,"F",IF(BB134&lt;=54.99,"P",IF(BB134&lt;=59.99,"C",IF(BB134&lt;=64.99,"B",IF(BB134&lt;=69.99,"B+",IF(BB134&lt;=74.99,"A",IF(BB134&lt;=79.99,"A+","O")))))))</f>
        <v>F</v>
      </c>
      <c r="BD134" s="18" t="str">
        <f>IF(BB134&lt;50,"0",IF(BB134&lt;=54.99,"4",IF(BB134&lt;=59.99,"5",IF(BB134&lt;=64.99,"6",IF(BB134&lt;=69.99,"7",IF(BB134&lt;=74.99,"8",IF(BB134&lt;=79.99,"9","10")))))))</f>
        <v>0</v>
      </c>
      <c r="BE134" s="28">
        <v>4</v>
      </c>
      <c r="BF134" s="29">
        <f>BD134*BE134</f>
        <v>0</v>
      </c>
      <c r="BG134" s="27">
        <f>AZ134+AS134+AE134+X134+J134+C134+Q134+AL134</f>
        <v>0</v>
      </c>
      <c r="BH134" s="27">
        <f>BA134+AT134+AF134+Y134+K134+D134+R134+AM134</f>
        <v>0</v>
      </c>
      <c r="BI134" s="27">
        <f>BH134+BG134</f>
        <v>0</v>
      </c>
      <c r="BJ134" s="30">
        <f>G134+N134+U134+AB134+AI134+AP134+BD134+AW134</f>
        <v>0</v>
      </c>
      <c r="BK134" s="30">
        <f>I134+P134+W134+AD134+AK134+AY134+BF134+AR134</f>
        <v>0</v>
      </c>
      <c r="BL134" s="25">
        <f>(BN134-0.75)*10</f>
        <v>-7.5</v>
      </c>
      <c r="BM134" s="17" t="str">
        <f>IF(OR(C134&lt;20,D134&lt;30,J134&lt;20,K134&lt;30,Q134&lt;20,R134&lt;30,X134&lt;20,Y134&lt;30,AE134&lt;20,AF134&lt;30,AL134&lt;20,AM134&lt;30,AS134&lt;20,AT134&lt;30,AZ134&lt;20,BA134&lt;30),"Unsuccessful","Successful")</f>
        <v>Unsuccessful</v>
      </c>
      <c r="BN134" s="31">
        <f>BK134/32</f>
        <v>0</v>
      </c>
      <c r="BO134" s="18" t="str">
        <f>IF(BN134&lt;=4,"F",IF(BN134&lt;=4.5,"P",IF(BN134&lt;=5.5,"C",IF(BN134&lt;=6.5,"B",IF(BN134&lt;=7.5,"B+",IF(BN134&lt;=8.5,"A",IF(BN134&lt;=9.5,"A+","O")))))))</f>
        <v>F</v>
      </c>
      <c r="BP134" s="14" t="str">
        <f>IF(BN134&lt;=4,"50",IF(BN134&lt;=4.5,"50-54.99",IF(BN134&lt;=5.5,"55-59.99",IF(BN134&lt;=6.5,"60-64.99",IF(BN134&lt;=7.5,"65-69.99",IF(BN134&lt;=8.5,"70-74.99",IF(BN134&lt;=9.5,"75-79.99","10")))))))</f>
        <v>50</v>
      </c>
      <c r="BS134">
        <f>RANK(BN134,$BN$3:$BN$135)</f>
        <v>118</v>
      </c>
    </row>
    <row r="135" spans="1:71" x14ac:dyDescent="0.25">
      <c r="A135" s="14">
        <f>[2]Sheet1!$A134</f>
        <v>0</v>
      </c>
      <c r="B135" s="15">
        <f>[2]Sheet1!$B134</f>
        <v>0</v>
      </c>
      <c r="C135" s="16">
        <f>'[3]1st Subject'!$C135</f>
        <v>0</v>
      </c>
      <c r="D135" s="16">
        <f>'[3]1st Subject'!$D135</f>
        <v>0</v>
      </c>
      <c r="E135" s="27">
        <f>D135+C135</f>
        <v>0</v>
      </c>
      <c r="F135" s="18" t="str">
        <f>IF(E135&lt;50,"F",IF(E135&lt;=54.99,"P",IF(E135&lt;=59.99,"C",IF(E135&lt;=64.99,"B",IF(E135&lt;=69.99,"B+",IF(E135&lt;=74.99,"A",IF(E135&lt;=79.99,"A+","O")))))))</f>
        <v>F</v>
      </c>
      <c r="G135" s="18" t="str">
        <f>IF(E135&lt;50,"0",IF(E135&lt;=54.99,"4",IF(E135&lt;=59.99,"5",IF(E135&lt;=64.99,"6",IF(E135&lt;=69.99,"7",IF(E135&lt;=74.99,"8",IF(E135&lt;=79.99,"9","10")))))))</f>
        <v>0</v>
      </c>
      <c r="H135" s="28">
        <v>4</v>
      </c>
      <c r="I135" s="29">
        <f>G135*H135</f>
        <v>0</v>
      </c>
      <c r="J135" s="16">
        <f>'[4]2nd Subject'!$C135</f>
        <v>0</v>
      </c>
      <c r="K135" s="16">
        <f>'[4]2nd Subject'!$D135</f>
        <v>0</v>
      </c>
      <c r="L135" s="27">
        <f>K135+J135</f>
        <v>0</v>
      </c>
      <c r="M135" s="18" t="str">
        <f>IF(L135&lt;50,"F",IF(L135&lt;=54.99,"P",IF(L135&lt;=59.99,"C",IF(L135&lt;=64.99,"B",IF(L135&lt;=69.99,"B+",IF(L135&lt;=74.99,"A",IF(L135&lt;=79.99,"A+","O")))))))</f>
        <v>F</v>
      </c>
      <c r="N135" s="18" t="str">
        <f>IF(L135&lt;50,"0",IF(L135&lt;=54.99,"4",IF(L135&lt;=59.99,"5",IF(L135&lt;=64.99,"6",IF(L135&lt;=69.99,"7",IF(L135&lt;=74.99,"8",IF(L135&lt;=79.99,"9","10")))))))</f>
        <v>0</v>
      </c>
      <c r="O135" s="28">
        <v>4</v>
      </c>
      <c r="P135" s="29">
        <f>N135*O135</f>
        <v>0</v>
      </c>
      <c r="Q135" s="21">
        <f>'[5]3rd Subject'!$C135</f>
        <v>0</v>
      </c>
      <c r="R135" s="21">
        <f>'[5]3rd Subject'!$D135</f>
        <v>0</v>
      </c>
      <c r="S135" s="27">
        <f>R135+Q135</f>
        <v>0</v>
      </c>
      <c r="T135" s="18" t="str">
        <f>IF(S135&lt;50,"F",IF(S135&lt;=54.99,"P",IF(S135&lt;=59.99,"C",IF(S135&lt;=64.99,"B",IF(S135&lt;=69.99,"B+",IF(S135&lt;=74.99,"A",IF(S135&lt;=79.99,"A+","O")))))))</f>
        <v>F</v>
      </c>
      <c r="U135" s="18" t="str">
        <f>IF(S135&lt;50,"0",IF(S135&lt;=54.99,"4",IF(S135&lt;=59.99,"5",IF(S135&lt;=64.99,"6",IF(S135&lt;=69.99,"7",IF(S135&lt;=74.99,"8",IF(S135&lt;=79.99,"9","10")))))))</f>
        <v>0</v>
      </c>
      <c r="V135" s="28">
        <v>4</v>
      </c>
      <c r="W135" s="29">
        <f>U135*V135</f>
        <v>0</v>
      </c>
      <c r="X135" s="22">
        <f>'[6]4th Subject'!$C135</f>
        <v>0</v>
      </c>
      <c r="Y135" s="23">
        <f>'[6]4th Subject'!$D135</f>
        <v>0</v>
      </c>
      <c r="Z135" s="27">
        <f>Y135+X135</f>
        <v>0</v>
      </c>
      <c r="AA135" s="18" t="str">
        <f>IF(Z135&lt;50,"F",IF(Z135&lt;=54.99,"P",IF(Z135&lt;=59.99,"C",IF(Z135&lt;=64.99,"B",IF(Z135&lt;=69.99,"B+",IF(Z135&lt;=74.99,"A",IF(Z135&lt;=79.99,"A+","O")))))))</f>
        <v>F</v>
      </c>
      <c r="AB135" s="18" t="str">
        <f>IF(Z135&lt;50,"0",IF(Z135&lt;=54.99,"4",IF(Z135&lt;=59.99,"5",IF(Z135&lt;=64.99,"6",IF(Z135&lt;=69.99,"7",IF(Z135&lt;=74.99,"8",IF(Z135&lt;=79.99,"9","10")))))))</f>
        <v>0</v>
      </c>
      <c r="AC135" s="28">
        <v>4</v>
      </c>
      <c r="AD135" s="29">
        <f>AB135*AC135</f>
        <v>0</v>
      </c>
      <c r="AE135" s="22">
        <f>'[7]5th Subject'!$C135</f>
        <v>0</v>
      </c>
      <c r="AF135" s="23">
        <f>'[7]5th Subject'!$D135</f>
        <v>0</v>
      </c>
      <c r="AG135" s="27">
        <f>AF135+AE135</f>
        <v>0</v>
      </c>
      <c r="AH135" s="18" t="str">
        <f>IF(AG135&lt;50,"F",IF(AG135&lt;=54.99,"P",IF(AG135&lt;=59.99,"C",IF(AG135&lt;=64.99,"B",IF(AG135&lt;=69.99,"B+",IF(AG135&lt;=74.99,"A",IF(AG135&lt;=79.99,"A+","O")))))))</f>
        <v>F</v>
      </c>
      <c r="AI135" s="18" t="str">
        <f>IF(AG135&lt;50,"0",IF(AG135&lt;=54.99,"4",IF(AG135&lt;=59.99,"5",IF(AG135&lt;=64.99,"6",IF(AG135&lt;=69.99,"7",IF(AG135&lt;=74.99,"8",IF(AG135&lt;=79.99,"9","10")))))))</f>
        <v>0</v>
      </c>
      <c r="AJ135" s="28">
        <v>4</v>
      </c>
      <c r="AK135" s="29">
        <f>AI135*AJ135</f>
        <v>0</v>
      </c>
      <c r="AL135" s="22">
        <f>'[8]6th Subject'!$C135</f>
        <v>0</v>
      </c>
      <c r="AM135" s="22">
        <f>'[8]6th Subject'!$D135</f>
        <v>0</v>
      </c>
      <c r="AN135" s="27">
        <f>AM135+AL135</f>
        <v>0</v>
      </c>
      <c r="AO135" s="18" t="str">
        <f>IF(AN135&lt;50,"F",IF(AN135&lt;=54.99,"P",IF(AN135&lt;=59.99,"C",IF(AN135&lt;=64.99,"B",IF(AN135&lt;=69.99,"B+",IF(AN135&lt;=74.99,"A",IF(AN135&lt;=79.99,"A+","O")))))))</f>
        <v>F</v>
      </c>
      <c r="AP135" s="18" t="str">
        <f>IF(AN135&lt;50,"0",IF(AN135&lt;=54.99,"4",IF(AN135&lt;=59.99,"5",IF(AN135&lt;=64.99,"6",IF(AN135&lt;=69.99,"7",IF(AN135&lt;=74.99,"8",IF(AN135&lt;=79.99,"9","10")))))))</f>
        <v>0</v>
      </c>
      <c r="AQ135" s="28">
        <v>4</v>
      </c>
      <c r="AR135" s="29">
        <f>AP135*AQ135</f>
        <v>0</v>
      </c>
      <c r="AS135" s="16">
        <f>'[9]7th Subject'!$C135</f>
        <v>0</v>
      </c>
      <c r="AT135" s="16">
        <f>'[9]7th Subject'!$D135</f>
        <v>0</v>
      </c>
      <c r="AU135" s="27">
        <f>AT135+AS135</f>
        <v>0</v>
      </c>
      <c r="AV135" s="18" t="str">
        <f>IF(AU135&lt;50,"F",IF(AU135&lt;=54.99,"P",IF(AU135&lt;=59.99,"C",IF(AU135&lt;=64.99,"B",IF(AU135&lt;=69.99,"B+",IF(AU135&lt;=74.99,"A",IF(AU135&lt;=79.99,"A+","O")))))))</f>
        <v>F</v>
      </c>
      <c r="AW135" s="18" t="str">
        <f>IF(AU135&lt;50,"0",IF(AU135&lt;=54.99,"4",IF(AU135&lt;=59.99,"5",IF(AU135&lt;=64.99,"6",IF(AU135&lt;=69.99,"7",IF(AU135&lt;=74.99,"8",IF(AU135&lt;=79.99,"9","10")))))))</f>
        <v>0</v>
      </c>
      <c r="AX135" s="28">
        <v>4</v>
      </c>
      <c r="AY135" s="29">
        <f>AW135*AX135</f>
        <v>0</v>
      </c>
      <c r="AZ135" s="22">
        <f>'[10]8th Subject'!$C135</f>
        <v>0</v>
      </c>
      <c r="BA135" s="22">
        <f>'[10]8th Subject'!$D135</f>
        <v>0</v>
      </c>
      <c r="BB135" s="27">
        <f>BA135+AZ135</f>
        <v>0</v>
      </c>
      <c r="BC135" s="18" t="str">
        <f>IF(BB135&lt;50,"F",IF(BB135&lt;=54.99,"P",IF(BB135&lt;=59.99,"C",IF(BB135&lt;=64.99,"B",IF(BB135&lt;=69.99,"B+",IF(BB135&lt;=74.99,"A",IF(BB135&lt;=79.99,"A+","O")))))))</f>
        <v>F</v>
      </c>
      <c r="BD135" s="18" t="str">
        <f>IF(BB135&lt;50,"0",IF(BB135&lt;=54.99,"4",IF(BB135&lt;=59.99,"5",IF(BB135&lt;=64.99,"6",IF(BB135&lt;=69.99,"7",IF(BB135&lt;=74.99,"8",IF(BB135&lt;=79.99,"9","10")))))))</f>
        <v>0</v>
      </c>
      <c r="BE135" s="28">
        <v>4</v>
      </c>
      <c r="BF135" s="29">
        <f>BD135*BE135</f>
        <v>0</v>
      </c>
      <c r="BG135" s="27">
        <f>AZ135+AS135+AE135+X135+J135+C135+Q135+AL135</f>
        <v>0</v>
      </c>
      <c r="BH135" s="27">
        <f>BA135+AT135+AF135+Y135+K135+D135+R135+AM135</f>
        <v>0</v>
      </c>
      <c r="BI135" s="27">
        <f>BH135+BG135</f>
        <v>0</v>
      </c>
      <c r="BJ135" s="30">
        <f>G135+N135+U135+AB135+AI135+AP135+BD135+AW135</f>
        <v>0</v>
      </c>
      <c r="BK135" s="30">
        <f>I135+P135+W135+AD135+AK135+AY135+BF135+AR135</f>
        <v>0</v>
      </c>
      <c r="BL135" s="25">
        <f>(BN135-0.75)*10</f>
        <v>-7.5</v>
      </c>
      <c r="BM135" s="17" t="str">
        <f>IF(OR(C135&lt;20,D135&lt;30,J135&lt;20,K135&lt;30,Q135&lt;20,R135&lt;30,X135&lt;20,Y135&lt;30,AE135&lt;20,AF135&lt;30,AL135&lt;20,AM135&lt;30,AS135&lt;20,AT135&lt;30,AZ135&lt;20,BA135&lt;30),"Unsuccessful","Successful")</f>
        <v>Unsuccessful</v>
      </c>
      <c r="BN135" s="31">
        <f>BK135/32</f>
        <v>0</v>
      </c>
      <c r="BO135" s="18" t="str">
        <f>IF(BN135&lt;=4,"F",IF(BN135&lt;=4.5,"P",IF(BN135&lt;=5.5,"C",IF(BN135&lt;=6.5,"B",IF(BN135&lt;=7.5,"B+",IF(BN135&lt;=8.5,"A",IF(BN135&lt;=9.5,"A+","O")))))))</f>
        <v>F</v>
      </c>
      <c r="BP135" s="14" t="str">
        <f>IF(BN135&lt;=4,"50",IF(BN135&lt;=4.5,"50-54.99",IF(BN135&lt;=5.5,"55-59.99",IF(BN135&lt;=6.5,"60-64.99",IF(BN135&lt;=7.5,"65-69.99",IF(BN135&lt;=8.5,"70-74.99",IF(BN135&lt;=9.5,"75-79.99","10")))))))</f>
        <v>50</v>
      </c>
      <c r="BS135">
        <f>RANK(BN135,$BN$3:$BN$135)</f>
        <v>118</v>
      </c>
    </row>
  </sheetData>
  <autoFilter ref="A2:BS135" xr:uid="{9D10C92A-1E13-46E4-B0FE-B3EF7C8E26EE}">
    <sortState ref="A3:BS135">
      <sortCondition descending="1" ref="BK2"/>
    </sortState>
  </autoFilter>
  <mergeCells count="11">
    <mergeCell ref="AF1:AK1"/>
    <mergeCell ref="A1:B1"/>
    <mergeCell ref="D1:I1"/>
    <mergeCell ref="K1:P1"/>
    <mergeCell ref="R1:W1"/>
    <mergeCell ref="Y1:AD1"/>
    <mergeCell ref="AM1:AR1"/>
    <mergeCell ref="AT1:AY1"/>
    <mergeCell ref="BA1:BF1"/>
    <mergeCell ref="BG1:BK1"/>
    <mergeCell ref="BL1:BP1"/>
  </mergeCells>
  <conditionalFormatting sqref="BM3:BM135">
    <cfRule type="cellIs" dxfId="67" priority="66" operator="equal">
      <formula>"Unsuccessful"</formula>
    </cfRule>
    <cfRule type="cellIs" dxfId="66" priority="68" operator="equal">
      <formula>"Unsuccessful"</formula>
    </cfRule>
  </conditionalFormatting>
  <conditionalFormatting sqref="BO3:BO135">
    <cfRule type="cellIs" dxfId="65" priority="65" operator="equal">
      <formula>"F"</formula>
    </cfRule>
    <cfRule type="cellIs" dxfId="64" priority="67" operator="equal">
      <formula>"F"</formula>
    </cfRule>
  </conditionalFormatting>
  <conditionalFormatting sqref="BL3:BL135">
    <cfRule type="cellIs" dxfId="63" priority="11" operator="lessThan">
      <formula>50</formula>
    </cfRule>
    <cfRule type="cellIs" dxfId="62" priority="64" operator="lessThan">
      <formula>50</formula>
    </cfRule>
  </conditionalFormatting>
  <conditionalFormatting sqref="BK3:BK135">
    <cfRule type="cellIs" dxfId="61" priority="10" operator="lessThan">
      <formula>128</formula>
    </cfRule>
    <cfRule type="cellIs" dxfId="60" priority="63" operator="lessThan">
      <formula>160</formula>
    </cfRule>
  </conditionalFormatting>
  <conditionalFormatting sqref="BJ3:BJ135">
    <cfRule type="cellIs" dxfId="59" priority="9" operator="lessThan">
      <formula>40</formula>
    </cfRule>
    <cfRule type="cellIs" dxfId="58" priority="62" operator="lessThan">
      <formula>40</formula>
    </cfRule>
  </conditionalFormatting>
  <conditionalFormatting sqref="BI3:BI135">
    <cfRule type="cellIs" dxfId="57" priority="6" operator="lessThan">
      <formula>400</formula>
    </cfRule>
    <cfRule type="cellIs" dxfId="56" priority="8" operator="lessThan">
      <formula>400</formula>
    </cfRule>
    <cfRule type="cellIs" dxfId="55" priority="61" operator="lessThan">
      <formula>400</formula>
    </cfRule>
  </conditionalFormatting>
  <conditionalFormatting sqref="BH3:BH135">
    <cfRule type="cellIs" dxfId="54" priority="5" operator="lessThan">
      <formula>240</formula>
    </cfRule>
    <cfRule type="cellIs" dxfId="53" priority="7" operator="lessThan">
      <formula>240</formula>
    </cfRule>
    <cfRule type="cellIs" dxfId="52" priority="60" operator="lessThan">
      <formula>262</formula>
    </cfRule>
  </conditionalFormatting>
  <conditionalFormatting sqref="BG3:BG135">
    <cfRule type="cellIs" dxfId="51" priority="4" operator="lessThan">
      <formula>160</formula>
    </cfRule>
    <cfRule type="cellIs" dxfId="50" priority="59" operator="lessThan">
      <formula>87</formula>
    </cfRule>
  </conditionalFormatting>
  <conditionalFormatting sqref="BC3:BC135">
    <cfRule type="cellIs" dxfId="49" priority="58" operator="equal">
      <formula>"F"</formula>
    </cfRule>
  </conditionalFormatting>
  <conditionalFormatting sqref="BB3:BB135">
    <cfRule type="cellIs" dxfId="48" priority="57" operator="lessThan">
      <formula>50</formula>
    </cfRule>
  </conditionalFormatting>
  <conditionalFormatting sqref="BA3:BA135">
    <cfRule type="cellIs" dxfId="47" priority="56" operator="lessThan">
      <formula>30</formula>
    </cfRule>
  </conditionalFormatting>
  <conditionalFormatting sqref="AZ3:AZ135">
    <cfRule type="cellIs" dxfId="46" priority="55" operator="lessThan">
      <formula>20</formula>
    </cfRule>
  </conditionalFormatting>
  <conditionalFormatting sqref="AY3:AY135">
    <cfRule type="cellIs" dxfId="45" priority="54" operator="lessThan">
      <formula>20</formula>
    </cfRule>
  </conditionalFormatting>
  <conditionalFormatting sqref="AV3:AV135">
    <cfRule type="cellIs" dxfId="44" priority="53" operator="equal">
      <formula>"F"</formula>
    </cfRule>
  </conditionalFormatting>
  <conditionalFormatting sqref="AU3:AU135">
    <cfRule type="cellIs" dxfId="43" priority="52" operator="lessThan">
      <formula>50</formula>
    </cfRule>
  </conditionalFormatting>
  <conditionalFormatting sqref="AT3:AT135">
    <cfRule type="cellIs" dxfId="42" priority="51" operator="lessThan">
      <formula>30</formula>
    </cfRule>
  </conditionalFormatting>
  <conditionalFormatting sqref="AS3:AS135">
    <cfRule type="cellIs" dxfId="41" priority="50" operator="lessThan">
      <formula>20</formula>
    </cfRule>
  </conditionalFormatting>
  <conditionalFormatting sqref="BN3:BN135">
    <cfRule type="cellIs" dxfId="40" priority="49" operator="lessThan">
      <formula>5</formula>
    </cfRule>
  </conditionalFormatting>
  <conditionalFormatting sqref="BP3:BP135">
    <cfRule type="cellIs" dxfId="39" priority="40" operator="equal">
      <formula>50</formula>
    </cfRule>
    <cfRule type="cellIs" dxfId="38" priority="41" operator="between">
      <formula>0</formula>
      <formula>50</formula>
    </cfRule>
    <cfRule type="containsText" dxfId="37" priority="42" operator="containsText" text="50">
      <formula>NOT(ISERROR(SEARCH("50",BP3)))</formula>
    </cfRule>
    <cfRule type="cellIs" dxfId="36" priority="43" operator="lessThan">
      <formula>50</formula>
    </cfRule>
    <cfRule type="cellIs" dxfId="35" priority="44" operator="lessThan">
      <formula>51</formula>
    </cfRule>
    <cfRule type="cellIs" dxfId="34" priority="45" operator="lessThan">
      <formula>52</formula>
    </cfRule>
    <cfRule type="cellIs" dxfId="33" priority="46" operator="lessThan">
      <formula>51</formula>
    </cfRule>
    <cfRule type="cellIs" dxfId="32" priority="47" operator="lessThan">
      <formula>51</formula>
    </cfRule>
    <cfRule type="cellIs" dxfId="31" priority="48" operator="lessThan">
      <formula>51</formula>
    </cfRule>
  </conditionalFormatting>
  <conditionalFormatting sqref="BF3:BF135">
    <cfRule type="cellIs" dxfId="30" priority="39" operator="lessThan">
      <formula>16</formula>
    </cfRule>
  </conditionalFormatting>
  <conditionalFormatting sqref="AR3:AR135">
    <cfRule type="cellIs" dxfId="29" priority="38" operator="lessThan">
      <formula>16</formula>
    </cfRule>
  </conditionalFormatting>
  <conditionalFormatting sqref="AO3:AO135">
    <cfRule type="cellIs" dxfId="28" priority="37" operator="equal">
      <formula>"F"</formula>
    </cfRule>
  </conditionalFormatting>
  <conditionalFormatting sqref="AN3:AN135">
    <cfRule type="cellIs" dxfId="27" priority="36" operator="lessThan">
      <formula>50</formula>
    </cfRule>
  </conditionalFormatting>
  <conditionalFormatting sqref="AM3:AM135">
    <cfRule type="cellIs" dxfId="26" priority="35" operator="lessThan">
      <formula>30</formula>
    </cfRule>
  </conditionalFormatting>
  <conditionalFormatting sqref="AL3:AL135">
    <cfRule type="cellIs" dxfId="25" priority="34" operator="lessThan">
      <formula>20</formula>
    </cfRule>
  </conditionalFormatting>
  <conditionalFormatting sqref="AK3:AK135">
    <cfRule type="cellIs" dxfId="24" priority="33" operator="lessThan">
      <formula>16</formula>
    </cfRule>
  </conditionalFormatting>
  <conditionalFormatting sqref="AH3:AH135">
    <cfRule type="cellIs" dxfId="23" priority="32" operator="equal">
      <formula>"F"</formula>
    </cfRule>
  </conditionalFormatting>
  <conditionalFormatting sqref="AG3:AG135">
    <cfRule type="cellIs" dxfId="22" priority="31" operator="lessThan">
      <formula>50</formula>
    </cfRule>
  </conditionalFormatting>
  <conditionalFormatting sqref="AF3:AF135">
    <cfRule type="cellIs" dxfId="21" priority="30" operator="lessThan">
      <formula>30</formula>
    </cfRule>
  </conditionalFormatting>
  <conditionalFormatting sqref="AE3:AE135">
    <cfRule type="cellIs" dxfId="20" priority="29" operator="lessThan">
      <formula>20</formula>
    </cfRule>
  </conditionalFormatting>
  <conditionalFormatting sqref="AD3:AD135">
    <cfRule type="cellIs" dxfId="19" priority="28" operator="lessThan">
      <formula>16</formula>
    </cfRule>
  </conditionalFormatting>
  <conditionalFormatting sqref="AA3:AA135">
    <cfRule type="cellIs" dxfId="18" priority="27" operator="equal">
      <formula>"F"</formula>
    </cfRule>
  </conditionalFormatting>
  <conditionalFormatting sqref="Z3:Z135">
    <cfRule type="cellIs" dxfId="17" priority="26" operator="lessThan">
      <formula>50</formula>
    </cfRule>
  </conditionalFormatting>
  <conditionalFormatting sqref="Y3:Y135">
    <cfRule type="cellIs" dxfId="16" priority="25" operator="lessThan">
      <formula>30</formula>
    </cfRule>
  </conditionalFormatting>
  <conditionalFormatting sqref="X3:X135">
    <cfRule type="cellIs" dxfId="15" priority="24" operator="lessThan">
      <formula>20</formula>
    </cfRule>
  </conditionalFormatting>
  <conditionalFormatting sqref="W3:W135">
    <cfRule type="cellIs" dxfId="14" priority="23" operator="lessThan">
      <formula>16</formula>
    </cfRule>
  </conditionalFormatting>
  <conditionalFormatting sqref="S3:S135">
    <cfRule type="cellIs" dxfId="13" priority="22" operator="lessThan">
      <formula>50</formula>
    </cfRule>
  </conditionalFormatting>
  <conditionalFormatting sqref="R3:R135">
    <cfRule type="cellIs" dxfId="12" priority="21" operator="lessThan">
      <formula>30</formula>
    </cfRule>
  </conditionalFormatting>
  <conditionalFormatting sqref="Q3:Q135">
    <cfRule type="cellIs" dxfId="11" priority="20" operator="lessThan">
      <formula>20</formula>
    </cfRule>
  </conditionalFormatting>
  <conditionalFormatting sqref="P3:P135">
    <cfRule type="cellIs" dxfId="10" priority="19" operator="lessThan">
      <formula>16</formula>
    </cfRule>
  </conditionalFormatting>
  <conditionalFormatting sqref="L3:L135">
    <cfRule type="cellIs" dxfId="9" priority="18" operator="lessThan">
      <formula>50</formula>
    </cfRule>
  </conditionalFormatting>
  <conditionalFormatting sqref="K3:K135">
    <cfRule type="cellIs" dxfId="8" priority="17" operator="lessThan">
      <formula>30</formula>
    </cfRule>
  </conditionalFormatting>
  <conditionalFormatting sqref="J3:J135">
    <cfRule type="cellIs" dxfId="7" priority="16" operator="lessThan">
      <formula>20</formula>
    </cfRule>
  </conditionalFormatting>
  <conditionalFormatting sqref="I3:I135">
    <cfRule type="cellIs" dxfId="6" priority="15" operator="lessThan">
      <formula>16</formula>
    </cfRule>
  </conditionalFormatting>
  <conditionalFormatting sqref="E3:E135">
    <cfRule type="cellIs" dxfId="5" priority="14" operator="lessThan">
      <formula>50</formula>
    </cfRule>
  </conditionalFormatting>
  <conditionalFormatting sqref="D3:D135">
    <cfRule type="cellIs" dxfId="4" priority="13" operator="lessThan">
      <formula>30</formula>
    </cfRule>
  </conditionalFormatting>
  <conditionalFormatting sqref="C3:C135">
    <cfRule type="cellIs" dxfId="3" priority="12" operator="lessThan">
      <formula>20</formula>
    </cfRule>
  </conditionalFormatting>
  <conditionalFormatting sqref="T3:T135">
    <cfRule type="cellIs" dxfId="2" priority="3" operator="equal">
      <formula>"F"</formula>
    </cfRule>
  </conditionalFormatting>
  <conditionalFormatting sqref="M3:M135">
    <cfRule type="cellIs" dxfId="1" priority="2" operator="equal">
      <formula>"F"</formula>
    </cfRule>
  </conditionalFormatting>
  <conditionalFormatting sqref="F3:F135">
    <cfRule type="cellIs" dxfId="0" priority="1" operator="equal">
      <formula>"F"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Top 12</vt:lpstr>
      <vt:lpstr>Subject Marks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Chitnis</dc:creator>
  <cp:lastModifiedBy>Abhishek Chitnis</cp:lastModifiedBy>
  <cp:lastPrinted>2019-03-12T17:56:59Z</cp:lastPrinted>
  <dcterms:created xsi:type="dcterms:W3CDTF">2019-03-12T17:38:24Z</dcterms:created>
  <dcterms:modified xsi:type="dcterms:W3CDTF">2019-03-18T19:46:00Z</dcterms:modified>
</cp:coreProperties>
</file>